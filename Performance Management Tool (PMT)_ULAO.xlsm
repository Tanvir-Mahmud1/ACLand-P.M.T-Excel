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Excel_Dashboard\"/>
    </mc:Choice>
  </mc:AlternateContent>
  <xr:revisionPtr revIDLastSave="0" documentId="13_ncr:1_{098BCBCE-917A-47C9-AA78-470B8CF8C56D}" xr6:coauthVersionLast="47" xr6:coauthVersionMax="47" xr10:uidLastSave="{00000000-0000-0000-0000-000000000000}"/>
  <bookViews>
    <workbookView xWindow="-108" yWindow="-108" windowWidth="23256" windowHeight="12456" tabRatio="912" xr2:uid="{00000000-000D-0000-FFFF-FFFF00000000}"/>
  </bookViews>
  <sheets>
    <sheet name="ড্যাশবোর্ড" sheetId="29" r:id="rId1"/>
    <sheet name="আসমানখালী" sheetId="24" r:id="rId2"/>
    <sheet name="Input" sheetId="30" r:id="rId3"/>
    <sheet name="Model" sheetId="31" state="hidden" r:id="rId4"/>
    <sheet name="1" sheetId="28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4" i="31" l="1"/>
  <c r="P13" i="31"/>
  <c r="P12" i="31"/>
  <c r="P11" i="31"/>
  <c r="P10" i="31"/>
  <c r="P9" i="31"/>
  <c r="P8" i="31"/>
  <c r="P7" i="31"/>
  <c r="P6" i="31"/>
  <c r="P5" i="31"/>
  <c r="P4" i="31"/>
  <c r="P3" i="31"/>
  <c r="J15" i="24"/>
  <c r="K15" i="24"/>
  <c r="L8" i="24"/>
  <c r="K8" i="24"/>
  <c r="L10" i="24"/>
  <c r="K10" i="24"/>
  <c r="D274" i="24"/>
  <c r="G273" i="24"/>
  <c r="F273" i="24"/>
  <c r="G272" i="24"/>
  <c r="F272" i="24"/>
  <c r="G271" i="24"/>
  <c r="F271" i="24"/>
  <c r="G270" i="24"/>
  <c r="F270" i="24"/>
  <c r="G268" i="24"/>
  <c r="F268" i="24"/>
  <c r="G267" i="24"/>
  <c r="F267" i="24"/>
  <c r="G266" i="24"/>
  <c r="F266" i="24"/>
  <c r="G265" i="24"/>
  <c r="F265" i="24"/>
  <c r="G264" i="24"/>
  <c r="F264" i="24"/>
  <c r="G263" i="24"/>
  <c r="F263" i="24"/>
  <c r="G262" i="24"/>
  <c r="F262" i="24"/>
  <c r="G261" i="24"/>
  <c r="F261" i="24"/>
  <c r="G260" i="24"/>
  <c r="F260" i="24"/>
  <c r="G259" i="24"/>
  <c r="F259" i="24"/>
  <c r="G258" i="24"/>
  <c r="F258" i="24"/>
  <c r="E257" i="24"/>
  <c r="G257" i="24" s="1"/>
  <c r="E256" i="24"/>
  <c r="D251" i="24"/>
  <c r="G250" i="24"/>
  <c r="F250" i="24"/>
  <c r="G249" i="24"/>
  <c r="F249" i="24"/>
  <c r="G248" i="24"/>
  <c r="F248" i="24"/>
  <c r="G247" i="24"/>
  <c r="F247" i="24"/>
  <c r="G245" i="24"/>
  <c r="F245" i="24"/>
  <c r="G244" i="24"/>
  <c r="F244" i="24"/>
  <c r="G243" i="24"/>
  <c r="F243" i="24"/>
  <c r="G242" i="24"/>
  <c r="F242" i="24"/>
  <c r="G241" i="24"/>
  <c r="F241" i="24"/>
  <c r="G240" i="24"/>
  <c r="F240" i="24"/>
  <c r="G239" i="24"/>
  <c r="F239" i="24"/>
  <c r="G238" i="24"/>
  <c r="F238" i="24"/>
  <c r="G237" i="24"/>
  <c r="F237" i="24"/>
  <c r="G236" i="24"/>
  <c r="F236" i="24"/>
  <c r="G235" i="24"/>
  <c r="F235" i="24"/>
  <c r="E234" i="24"/>
  <c r="G234" i="24" s="1"/>
  <c r="E233" i="24"/>
  <c r="D228" i="24"/>
  <c r="G227" i="24"/>
  <c r="F227" i="24"/>
  <c r="G226" i="24"/>
  <c r="F226" i="24"/>
  <c r="G225" i="24"/>
  <c r="F225" i="24"/>
  <c r="G224" i="24"/>
  <c r="F224" i="24"/>
  <c r="G222" i="24"/>
  <c r="F222" i="24"/>
  <c r="G221" i="24"/>
  <c r="F221" i="24"/>
  <c r="G220" i="24"/>
  <c r="F220" i="24"/>
  <c r="G219" i="24"/>
  <c r="F219" i="24"/>
  <c r="G218" i="24"/>
  <c r="F218" i="24"/>
  <c r="G217" i="24"/>
  <c r="F217" i="24"/>
  <c r="G216" i="24"/>
  <c r="F216" i="24"/>
  <c r="G215" i="24"/>
  <c r="F215" i="24"/>
  <c r="G214" i="24"/>
  <c r="F214" i="24"/>
  <c r="G213" i="24"/>
  <c r="F213" i="24"/>
  <c r="G212" i="24"/>
  <c r="F212" i="24"/>
  <c r="E211" i="24"/>
  <c r="F211" i="24" s="1"/>
  <c r="E210" i="24"/>
  <c r="G210" i="24" s="1"/>
  <c r="D205" i="24"/>
  <c r="G204" i="24"/>
  <c r="F204" i="24"/>
  <c r="G203" i="24"/>
  <c r="F203" i="24"/>
  <c r="G202" i="24"/>
  <c r="F202" i="24"/>
  <c r="G201" i="24"/>
  <c r="F201" i="24"/>
  <c r="G199" i="24"/>
  <c r="F199" i="24"/>
  <c r="G198" i="24"/>
  <c r="F198" i="24"/>
  <c r="G197" i="24"/>
  <c r="F197" i="24"/>
  <c r="G196" i="24"/>
  <c r="F196" i="24"/>
  <c r="G195" i="24"/>
  <c r="F195" i="24"/>
  <c r="G194" i="24"/>
  <c r="F194" i="24"/>
  <c r="G193" i="24"/>
  <c r="F193" i="24"/>
  <c r="G192" i="24"/>
  <c r="F192" i="24"/>
  <c r="G191" i="24"/>
  <c r="F191" i="24"/>
  <c r="G190" i="24"/>
  <c r="F190" i="24"/>
  <c r="G189" i="24"/>
  <c r="F189" i="24"/>
  <c r="E188" i="24"/>
  <c r="G188" i="24" s="1"/>
  <c r="E187" i="24"/>
  <c r="D182" i="24"/>
  <c r="G181" i="24"/>
  <c r="F181" i="24"/>
  <c r="G180" i="24"/>
  <c r="F180" i="24"/>
  <c r="G179" i="24"/>
  <c r="F179" i="24"/>
  <c r="G178" i="24"/>
  <c r="F178" i="24"/>
  <c r="G176" i="24"/>
  <c r="F176" i="24"/>
  <c r="G175" i="24"/>
  <c r="F175" i="24"/>
  <c r="G174" i="24"/>
  <c r="F174" i="24"/>
  <c r="G173" i="24"/>
  <c r="F173" i="24"/>
  <c r="G172" i="24"/>
  <c r="F172" i="24"/>
  <c r="G171" i="24"/>
  <c r="F171" i="24"/>
  <c r="G170" i="24"/>
  <c r="F170" i="24"/>
  <c r="G169" i="24"/>
  <c r="F169" i="24"/>
  <c r="G168" i="24"/>
  <c r="F168" i="24"/>
  <c r="G167" i="24"/>
  <c r="F167" i="24"/>
  <c r="G166" i="24"/>
  <c r="F166" i="24"/>
  <c r="E165" i="24"/>
  <c r="F165" i="24" s="1"/>
  <c r="E164" i="24"/>
  <c r="D159" i="24"/>
  <c r="G158" i="24"/>
  <c r="F158" i="24"/>
  <c r="G157" i="24"/>
  <c r="F157" i="24"/>
  <c r="G156" i="24"/>
  <c r="F156" i="24"/>
  <c r="G155" i="24"/>
  <c r="F155" i="24"/>
  <c r="G153" i="24"/>
  <c r="F153" i="24"/>
  <c r="G152" i="24"/>
  <c r="F152" i="24"/>
  <c r="G151" i="24"/>
  <c r="F151" i="24"/>
  <c r="G150" i="24"/>
  <c r="F150" i="24"/>
  <c r="G149" i="24"/>
  <c r="F149" i="24"/>
  <c r="G148" i="24"/>
  <c r="F148" i="24"/>
  <c r="G147" i="24"/>
  <c r="F147" i="24"/>
  <c r="G146" i="24"/>
  <c r="F146" i="24"/>
  <c r="G145" i="24"/>
  <c r="F145" i="24"/>
  <c r="G144" i="24"/>
  <c r="F144" i="24"/>
  <c r="G143" i="24"/>
  <c r="F143" i="24"/>
  <c r="E142" i="24"/>
  <c r="G142" i="24" s="1"/>
  <c r="E141" i="24"/>
  <c r="G141" i="24" s="1"/>
  <c r="D136" i="24"/>
  <c r="G135" i="24"/>
  <c r="F135" i="24"/>
  <c r="G134" i="24"/>
  <c r="F134" i="24"/>
  <c r="G133" i="24"/>
  <c r="F133" i="24"/>
  <c r="G132" i="24"/>
  <c r="F132" i="24"/>
  <c r="G130" i="24"/>
  <c r="F130" i="24"/>
  <c r="G129" i="24"/>
  <c r="F129" i="24"/>
  <c r="G128" i="24"/>
  <c r="F128" i="24"/>
  <c r="G127" i="24"/>
  <c r="F127" i="24"/>
  <c r="G126" i="24"/>
  <c r="F126" i="24"/>
  <c r="G125" i="24"/>
  <c r="F125" i="24"/>
  <c r="G124" i="24"/>
  <c r="F124" i="24"/>
  <c r="G123" i="24"/>
  <c r="F123" i="24"/>
  <c r="G122" i="24"/>
  <c r="F122" i="24"/>
  <c r="G121" i="24"/>
  <c r="F121" i="24"/>
  <c r="G120" i="24"/>
  <c r="F120" i="24"/>
  <c r="E119" i="24"/>
  <c r="G119" i="24" s="1"/>
  <c r="E118" i="24"/>
  <c r="D113" i="24"/>
  <c r="G112" i="24"/>
  <c r="F112" i="24"/>
  <c r="G111" i="24"/>
  <c r="F111" i="24"/>
  <c r="G110" i="24"/>
  <c r="F110" i="24"/>
  <c r="G109" i="24"/>
  <c r="F109" i="24"/>
  <c r="G107" i="24"/>
  <c r="F107" i="24"/>
  <c r="G106" i="24"/>
  <c r="F106" i="24"/>
  <c r="G105" i="24"/>
  <c r="F105" i="24"/>
  <c r="G104" i="24"/>
  <c r="F104" i="24"/>
  <c r="G103" i="24"/>
  <c r="F103" i="24"/>
  <c r="G102" i="24"/>
  <c r="F102" i="24"/>
  <c r="G101" i="24"/>
  <c r="F101" i="24"/>
  <c r="G100" i="24"/>
  <c r="F100" i="24"/>
  <c r="G99" i="24"/>
  <c r="F99" i="24"/>
  <c r="G98" i="24"/>
  <c r="F98" i="24"/>
  <c r="G97" i="24"/>
  <c r="F97" i="24"/>
  <c r="E96" i="24"/>
  <c r="G96" i="24" s="1"/>
  <c r="E95" i="24"/>
  <c r="D90" i="24"/>
  <c r="G89" i="24"/>
  <c r="F89" i="24"/>
  <c r="G88" i="24"/>
  <c r="F88" i="24"/>
  <c r="G87" i="24"/>
  <c r="F87" i="24"/>
  <c r="G86" i="24"/>
  <c r="F86" i="24"/>
  <c r="G84" i="24"/>
  <c r="F84" i="24"/>
  <c r="G83" i="24"/>
  <c r="F83" i="24"/>
  <c r="G82" i="24"/>
  <c r="F82" i="24"/>
  <c r="G81" i="24"/>
  <c r="F81" i="24"/>
  <c r="G80" i="24"/>
  <c r="F80" i="24"/>
  <c r="G79" i="24"/>
  <c r="F79" i="24"/>
  <c r="G78" i="24"/>
  <c r="F78" i="24"/>
  <c r="G77" i="24"/>
  <c r="F77" i="24"/>
  <c r="G76" i="24"/>
  <c r="F76" i="24"/>
  <c r="G75" i="24"/>
  <c r="F75" i="24"/>
  <c r="G74" i="24"/>
  <c r="F74" i="24"/>
  <c r="E73" i="24"/>
  <c r="G73" i="24" s="1"/>
  <c r="E72" i="24"/>
  <c r="D67" i="24"/>
  <c r="G66" i="24"/>
  <c r="F66" i="24"/>
  <c r="G65" i="24"/>
  <c r="F65" i="24"/>
  <c r="G64" i="24"/>
  <c r="F64" i="24"/>
  <c r="G63" i="24"/>
  <c r="F63" i="24"/>
  <c r="G61" i="24"/>
  <c r="F61" i="24"/>
  <c r="G60" i="24"/>
  <c r="F60" i="24"/>
  <c r="G59" i="24"/>
  <c r="F59" i="24"/>
  <c r="G58" i="24"/>
  <c r="F58" i="24"/>
  <c r="G57" i="24"/>
  <c r="F57" i="24"/>
  <c r="G56" i="24"/>
  <c r="F56" i="24"/>
  <c r="G55" i="24"/>
  <c r="F55" i="24"/>
  <c r="G54" i="24"/>
  <c r="F54" i="24"/>
  <c r="G53" i="24"/>
  <c r="F53" i="24"/>
  <c r="G52" i="24"/>
  <c r="F52" i="24"/>
  <c r="G51" i="24"/>
  <c r="F51" i="24"/>
  <c r="E50" i="24"/>
  <c r="F50" i="24" s="1"/>
  <c r="E49" i="24"/>
  <c r="G49" i="24" s="1"/>
  <c r="D44" i="24"/>
  <c r="G43" i="24"/>
  <c r="F43" i="24"/>
  <c r="G42" i="24"/>
  <c r="F42" i="24"/>
  <c r="G41" i="24"/>
  <c r="F41" i="24"/>
  <c r="G40" i="24"/>
  <c r="F40" i="24"/>
  <c r="G38" i="24"/>
  <c r="F38" i="24"/>
  <c r="G37" i="24"/>
  <c r="F37" i="24"/>
  <c r="G36" i="24"/>
  <c r="F36" i="24"/>
  <c r="G35" i="24"/>
  <c r="F35" i="24"/>
  <c r="G34" i="24"/>
  <c r="F34" i="24"/>
  <c r="G33" i="24"/>
  <c r="F33" i="24"/>
  <c r="G32" i="24"/>
  <c r="F32" i="24"/>
  <c r="G31" i="24"/>
  <c r="F31" i="24"/>
  <c r="G30" i="24"/>
  <c r="F30" i="24"/>
  <c r="G29" i="24"/>
  <c r="F29" i="24"/>
  <c r="G28" i="24"/>
  <c r="F28" i="24"/>
  <c r="E27" i="24"/>
  <c r="F27" i="24" s="1"/>
  <c r="E26" i="24"/>
  <c r="G26" i="24" s="1"/>
  <c r="L4" i="31"/>
  <c r="L3" i="31"/>
  <c r="G20" i="31"/>
  <c r="F20" i="31"/>
  <c r="G19" i="31"/>
  <c r="F19" i="31"/>
  <c r="G18" i="31"/>
  <c r="F18" i="31"/>
  <c r="G17" i="31"/>
  <c r="F17" i="31"/>
  <c r="G15" i="31"/>
  <c r="F15" i="31"/>
  <c r="G14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F4" i="31"/>
  <c r="G4" i="31"/>
  <c r="E21" i="31"/>
  <c r="D21" i="31"/>
  <c r="L7" i="24"/>
  <c r="K7" i="24"/>
  <c r="G13" i="24"/>
  <c r="F9" i="24"/>
  <c r="F12" i="24"/>
  <c r="F13" i="24"/>
  <c r="G7" i="24"/>
  <c r="D21" i="24"/>
  <c r="D3" i="29" s="1"/>
  <c r="G5" i="24"/>
  <c r="G6" i="24"/>
  <c r="G8" i="24"/>
  <c r="G9" i="24"/>
  <c r="G10" i="24"/>
  <c r="G11" i="24"/>
  <c r="G12" i="24"/>
  <c r="G14" i="24"/>
  <c r="G15" i="24"/>
  <c r="G17" i="24"/>
  <c r="G18" i="24"/>
  <c r="G19" i="24"/>
  <c r="G20" i="24"/>
  <c r="F5" i="24"/>
  <c r="F6" i="24"/>
  <c r="F7" i="24"/>
  <c r="F8" i="24"/>
  <c r="F10" i="24"/>
  <c r="F11" i="24"/>
  <c r="F14" i="24"/>
  <c r="F15" i="24"/>
  <c r="F17" i="24"/>
  <c r="F18" i="24"/>
  <c r="F19" i="24"/>
  <c r="F20" i="24"/>
  <c r="T1" i="31" l="1"/>
  <c r="L5" i="31"/>
  <c r="D1" i="29" s="1"/>
  <c r="L15" i="24"/>
  <c r="E16" i="24" s="1" a="1"/>
  <c r="E16" i="24" s="1"/>
  <c r="F16" i="24" s="1"/>
  <c r="G211" i="24"/>
  <c r="F257" i="24"/>
  <c r="F188" i="24"/>
  <c r="L9" i="24"/>
  <c r="F256" i="24"/>
  <c r="G256" i="24"/>
  <c r="F233" i="24"/>
  <c r="G233" i="24"/>
  <c r="F234" i="24"/>
  <c r="F210" i="24"/>
  <c r="G187" i="24"/>
  <c r="F187" i="24"/>
  <c r="G164" i="24"/>
  <c r="F164" i="24"/>
  <c r="G165" i="24"/>
  <c r="F141" i="24"/>
  <c r="F142" i="24"/>
  <c r="F118" i="24"/>
  <c r="G118" i="24"/>
  <c r="F119" i="24"/>
  <c r="F95" i="24"/>
  <c r="G95" i="24"/>
  <c r="F96" i="24"/>
  <c r="G72" i="24"/>
  <c r="F73" i="24"/>
  <c r="F72" i="24"/>
  <c r="F49" i="24"/>
  <c r="G50" i="24"/>
  <c r="F26" i="24"/>
  <c r="G27" i="24"/>
  <c r="G16" i="31"/>
  <c r="F16" i="31"/>
  <c r="F3" i="31"/>
  <c r="F21" i="31" s="1"/>
  <c r="G3" i="31"/>
  <c r="G21" i="31" s="1"/>
  <c r="K9" i="24"/>
  <c r="G16" i="24" l="1"/>
  <c r="E200" i="24" a="1"/>
  <c r="E200" i="24" s="1"/>
  <c r="G200" i="24" s="1"/>
  <c r="G205" i="24" s="1"/>
  <c r="E39" i="24" a="1"/>
  <c r="E39" i="24" s="1"/>
  <c r="E44" i="24" s="1"/>
  <c r="E108" i="24" a="1"/>
  <c r="E108" i="24" s="1"/>
  <c r="E113" i="24" s="1"/>
  <c r="E154" i="24" a="1"/>
  <c r="E154" i="24" s="1"/>
  <c r="G154" i="24" s="1"/>
  <c r="G159" i="24" s="1"/>
  <c r="E223" i="24" a="1"/>
  <c r="E223" i="24" s="1"/>
  <c r="G223" i="24" s="1"/>
  <c r="G228" i="24" s="1"/>
  <c r="E269" i="24" a="1"/>
  <c r="E269" i="24" s="1"/>
  <c r="E274" i="24" s="1"/>
  <c r="E62" i="24" a="1"/>
  <c r="E62" i="24" s="1"/>
  <c r="F62" i="24" s="1"/>
  <c r="F67" i="24" s="1"/>
  <c r="E246" i="24" a="1"/>
  <c r="E246" i="24" s="1"/>
  <c r="G246" i="24" s="1"/>
  <c r="G251" i="24" s="1"/>
  <c r="E85" i="24" a="1"/>
  <c r="E85" i="24" s="1"/>
  <c r="E90" i="24" s="1"/>
  <c r="E131" i="24" a="1"/>
  <c r="E131" i="24" s="1"/>
  <c r="E136" i="24" s="1"/>
  <c r="E177" i="24" a="1"/>
  <c r="E177" i="24" s="1"/>
  <c r="E4" i="24"/>
  <c r="E3" i="24"/>
  <c r="F3" i="24" s="1"/>
  <c r="G39" i="24" l="1"/>
  <c r="G44" i="24" s="1"/>
  <c r="F39" i="24"/>
  <c r="F44" i="24" s="1"/>
  <c r="E205" i="24"/>
  <c r="E159" i="24"/>
  <c r="F223" i="24"/>
  <c r="F228" i="24" s="1"/>
  <c r="F200" i="24"/>
  <c r="F205" i="24" s="1"/>
  <c r="F108" i="24"/>
  <c r="F113" i="24" s="1"/>
  <c r="G62" i="24"/>
  <c r="G67" i="24" s="1"/>
  <c r="F131" i="24"/>
  <c r="F136" i="24" s="1"/>
  <c r="G131" i="24"/>
  <c r="G136" i="24" s="1"/>
  <c r="E228" i="24"/>
  <c r="G108" i="24"/>
  <c r="G113" i="24" s="1"/>
  <c r="G85" i="24"/>
  <c r="G90" i="24" s="1"/>
  <c r="E251" i="24"/>
  <c r="F269" i="24"/>
  <c r="F274" i="24" s="1"/>
  <c r="G177" i="24"/>
  <c r="G182" i="24" s="1"/>
  <c r="F177" i="24"/>
  <c r="F182" i="24" s="1"/>
  <c r="E182" i="24"/>
  <c r="F154" i="24"/>
  <c r="F159" i="24" s="1"/>
  <c r="F85" i="24"/>
  <c r="F90" i="24" s="1"/>
  <c r="F246" i="24"/>
  <c r="F251" i="24" s="1"/>
  <c r="E67" i="24"/>
  <c r="G269" i="24"/>
  <c r="G274" i="24" s="1"/>
  <c r="G4" i="24"/>
  <c r="F4" i="24"/>
  <c r="F21" i="24" s="1"/>
  <c r="F3" i="29" s="1"/>
  <c r="E21" i="24"/>
  <c r="E3" i="29" s="1"/>
  <c r="G3" i="24"/>
  <c r="G21" i="24" l="1"/>
  <c r="G3" i="2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<sst xmlns="http://schemas.openxmlformats.org/spreadsheetml/2006/main" count="859" uniqueCount="105">
  <si>
    <t>ক্রমিক নং</t>
  </si>
  <si>
    <t>অর্পিত দায়িত্ব</t>
  </si>
  <si>
    <t>মাস/সাল</t>
  </si>
  <si>
    <t>অবশিষ্ট</t>
  </si>
  <si>
    <t>অর্জন</t>
  </si>
  <si>
    <t>অর্জনের হার (%)</t>
  </si>
  <si>
    <t>ভূমি উন্নয়ন কর আদায় (সাধারণ)</t>
  </si>
  <si>
    <t>ভূমি উন্নয়ন কর আদায় (সংস্থা)</t>
  </si>
  <si>
    <t>সরকারি জমি পরিদর্শন</t>
  </si>
  <si>
    <t>অতিরিক্ত জেলা ম‌্যাজিস্ট্রেট আদালতের পিটিশন মামলার তদন্ত প্রতিবেদন</t>
  </si>
  <si>
    <t>মিসকেস সংক্রান্ত প্রতিবেদন</t>
  </si>
  <si>
    <t>সরকারি জমিতে অবৈধ দখল সংক্রান্ত প্রতিবেদন</t>
  </si>
  <si>
    <t>রিটার্ন-০৩ দাখিল</t>
  </si>
  <si>
    <t>রেন্ট সার্টিফিকেট মামলা দায়ের</t>
  </si>
  <si>
    <t>হোল্ডিং অনুমোদনের সংখ‌্যা</t>
  </si>
  <si>
    <t>একক</t>
  </si>
  <si>
    <t>মন্তব্য</t>
  </si>
  <si>
    <t>এস. এফ. সংক্রান্ত প্রতিবেদন প্রেরণ</t>
  </si>
  <si>
    <t>ভি.পি. লিজ নবায়নের প্রতিবেদন</t>
  </si>
  <si>
    <t>আশ্রয়ণ ও আবাসন পরিদর্শন</t>
  </si>
  <si>
    <t>উপজেলা ভূমি অফিস কর্তৃক প্রেরিত বিবিধ চিঠির জবাব</t>
  </si>
  <si>
    <t>নামজারি মামলা সংক্রান্ত প্রতিবেদন</t>
  </si>
  <si>
    <t>রেজিস্টার-০২ হালনাগাদকরণ</t>
  </si>
  <si>
    <t>সংশোধিত/ নামজারি খতিয়ানের তামিলকরণ এবং তামিল প্রতিবেদন প্রেরণ</t>
  </si>
  <si>
    <t>জনাব মোল্লা মোঃ মতিয়ার রহমান
ইউনিয়ন ভূমি সহকারী কর্মকর্তা</t>
  </si>
  <si>
    <t>আসমানখালী</t>
  </si>
  <si>
    <t>কালিদাসপুর</t>
  </si>
  <si>
    <t>কুমারী</t>
  </si>
  <si>
    <t>খাসকররা</t>
  </si>
  <si>
    <t>গোকুলখালী</t>
  </si>
  <si>
    <t>ঘোলদাড়ী</t>
  </si>
  <si>
    <t>ঘোষবিলা</t>
  </si>
  <si>
    <t>ডাউকি</t>
  </si>
  <si>
    <t>মুন্সিগঞ্জ</t>
  </si>
  <si>
    <t>হারদী</t>
  </si>
  <si>
    <t>পৌর</t>
  </si>
  <si>
    <t>সর্বমোট</t>
  </si>
  <si>
    <t>অফিসের নাম</t>
  </si>
  <si>
    <t>আগস্ট/২০২৪</t>
  </si>
  <si>
    <t>পত্রপ্রাপ্তির সংখ্যা</t>
  </si>
  <si>
    <t>পত্রজারির সংখ্যা</t>
  </si>
  <si>
    <t>লক্ষ্য</t>
  </si>
  <si>
    <t>ভূমি উন্নয়ন কর</t>
  </si>
  <si>
    <t>সাধারণ</t>
  </si>
  <si>
    <t>সংস্থা</t>
  </si>
  <si>
    <t>মোট দাবি</t>
  </si>
  <si>
    <t>মাসিক লক্ষ্য</t>
  </si>
  <si>
    <t>মাসিক অর্জন</t>
  </si>
  <si>
    <t>অর্জনের হার</t>
  </si>
  <si>
    <t>হোল্ডিং</t>
  </si>
  <si>
    <t>অনুমোদন</t>
  </si>
  <si>
    <t>পেন্ডিং</t>
  </si>
  <si>
    <t>অনুমোদনের হার</t>
  </si>
  <si>
    <t>নাম</t>
  </si>
  <si>
    <t>অপেক্ষমান হোল্ডিং সংখ‌্যা</t>
  </si>
  <si>
    <t>উপজেলা ভূমি অফিস, আলমডাঙ্গা-এর মাসিক অর্জন</t>
  </si>
  <si>
    <t>ভি.পি. লিজমানি আদায় (টাকা)</t>
  </si>
  <si>
    <t>ভূমি উন্নয়ন কর আদায় (সংস্থা)(টাকা)</t>
  </si>
  <si>
    <t>ভূমি উন্নয়ন কর আদায় (সাধারণ)(টাকা)</t>
  </si>
  <si>
    <t>মিসকেস নিষ্পত্তি</t>
  </si>
  <si>
    <t>নামজারি মামলা নিষ্পত্তি</t>
  </si>
  <si>
    <t>আইনীভাবে লব্ধ খাস জমির দখল</t>
  </si>
  <si>
    <t>মাসের নাম</t>
  </si>
  <si>
    <t>জুলাই</t>
  </si>
  <si>
    <t>আগস্ট</t>
  </si>
  <si>
    <t>সেপ্টেম্বর</t>
  </si>
  <si>
    <t>অক্টোবর</t>
  </si>
  <si>
    <t>নভেম্বর</t>
  </si>
  <si>
    <t>ডিসেম্বর</t>
  </si>
  <si>
    <t>জানুয়ারি</t>
  </si>
  <si>
    <t>ফেব্রুয়ারি</t>
  </si>
  <si>
    <t>এপ্রিল</t>
  </si>
  <si>
    <t>মে</t>
  </si>
  <si>
    <t>জুন</t>
  </si>
  <si>
    <t>মার্চ</t>
  </si>
  <si>
    <t>বর্তমান মাস</t>
  </si>
  <si>
    <t>পুঞ্জীভূত</t>
  </si>
  <si>
    <t>পুঞ্জীভূত আদায়</t>
  </si>
  <si>
    <t>/</t>
  </si>
  <si>
    <t>সেপ্টেম্বর/২০২৪</t>
  </si>
  <si>
    <t>অক্টোবর/২০২৪</t>
  </si>
  <si>
    <t>নভেম্বর/২০২৪</t>
  </si>
  <si>
    <t>ডিসেম্বর/২০২৪</t>
  </si>
  <si>
    <t>জুলাই/২০২৪</t>
  </si>
  <si>
    <t>জানুয়ারি/২০২৫</t>
  </si>
  <si>
    <t>ফেব্রুয়ারি/২০২৫</t>
  </si>
  <si>
    <t>মার্চ/২০২৫</t>
  </si>
  <si>
    <t>এপ্রিল/২০২৫</t>
  </si>
  <si>
    <t>মে/২০২৫</t>
  </si>
  <si>
    <t>জুন/২০২৫</t>
  </si>
  <si>
    <t>তথ্য প্রদান টেবিল</t>
  </si>
  <si>
    <t>মাসিক মূল্যায়ন চার্ট/</t>
  </si>
  <si>
    <t>May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</si>
  <si>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</si>
  <si>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</si>
  <si>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</si>
  <si>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</si>
  <si>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</si>
  <si>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</si>
  <si>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</si>
  <si>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</si>
  <si>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</si>
  <si>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</si>
  <si>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</si>
  <si>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This Tool is Designed &amp; Developed by 'Md. Tanvir Mahmud'.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</si>
</sst>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[$-5000445]0"/>
    <numFmt numFmtId="165" formatCode="[$-5000445]0.00&quot;%&quot;"/>
    <numFmt numFmtId="166" formatCode="[$-5000445]0.00"/>
    <numFmt numFmtId="167" formatCode="[$-5000445]0&quot;%&quot;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Nikosh"/>
    </font>
    <font>
      <b/>
      <sz val="11"/>
      <color theme="1"/>
      <name val="Nikosh"/>
    </font>
    <font>
      <b/>
      <sz val="12"/>
      <color theme="1"/>
      <name val="Nikosh"/>
    </font>
    <font>
      <b/>
      <sz val="11"/>
      <color theme="1"/>
      <name val="Calibri"/>
      <family val="2"/>
      <scheme val="minor"/>
    </font>
    <font>
      <sz val="12"/>
      <color theme="1"/>
      <name val="Nikosh"/>
    </font>
    <font>
      <b/>
      <sz val="11"/>
      <name val="Nikosh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0D0F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49ECB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3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1" fillId="3" borderId="0" xfId="0" applyFont="1" applyFill="1" applyAlignment="1" applyProtection="1">
      <alignment horizontal="center"/>
      <protection locked="0"/>
    </xf>
    <xf numFmtId="0" fontId="4" fillId="0" borderId="0" xfId="0" applyFont="1"/>
    <xf numFmtId="0" fontId="3" fillId="0" borderId="0" xfId="0" applyFont="1" applyAlignment="1">
      <alignment horizontal="left"/>
    </xf>
    <xf numFmtId="164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>
      <alignment horizontal="left"/>
    </xf>
    <xf numFmtId="164" fontId="5" fillId="0" borderId="0" xfId="0" applyNumberFormat="1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5" fillId="0" borderId="0" xfId="0" applyFont="1" applyAlignment="1" applyProtection="1">
      <alignment horizontal="center"/>
      <protection locked="0"/>
    </xf>
    <xf numFmtId="164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 applyProtection="1">
      <alignment horizontal="center"/>
      <protection locked="0"/>
    </xf>
    <xf numFmtId="164" fontId="5" fillId="0" borderId="1" xfId="0" applyNumberFormat="1" applyFont="1" applyBorder="1" applyAlignment="1">
      <alignment horizontal="center"/>
    </xf>
    <xf numFmtId="165" fontId="5" fillId="0" borderId="1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 applyAlignment="1">
      <alignment horizontal="center"/>
    </xf>
    <xf numFmtId="167" fontId="5" fillId="0" borderId="0" xfId="0" applyNumberFormat="1" applyFont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8" borderId="0" xfId="0" applyFill="1" applyAlignment="1">
      <alignment horizontal="center"/>
    </xf>
    <xf numFmtId="0" fontId="7" fillId="9" borderId="0" xfId="1" applyFill="1" applyAlignment="1">
      <alignment horizontal="center" wrapText="1"/>
    </xf>
    <xf numFmtId="0" fontId="9" fillId="12" borderId="0" xfId="0" applyFont="1" applyFill="1"/>
    <xf numFmtId="0" fontId="3" fillId="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/>
    </xf>
    <xf numFmtId="165" fontId="4" fillId="0" borderId="0" xfId="0" applyNumberFormat="1" applyFont="1" applyAlignment="1">
      <alignment horizontal="center"/>
    </xf>
    <xf numFmtId="49" fontId="4" fillId="0" borderId="0" xfId="0" applyNumberFormat="1" applyFont="1"/>
    <xf numFmtId="165" fontId="4" fillId="0" borderId="0" xfId="0" applyNumberFormat="1" applyFont="1"/>
    <xf numFmtId="0" fontId="5" fillId="0" borderId="0" xfId="0" applyFont="1"/>
    <xf numFmtId="0" fontId="2" fillId="11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167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6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5" fillId="0" borderId="1" xfId="0" applyFont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7" fillId="0" borderId="0" xfId="1" applyAlignment="1" applyProtection="1">
      <alignment horizontal="center"/>
    </xf>
    <xf numFmtId="0" fontId="3" fillId="2" borderId="0" xfId="0" applyFont="1" applyFill="1" applyAlignment="1">
      <alignment horizontal="center" vertical="center" textRotation="90"/>
    </xf>
    <xf numFmtId="0" fontId="4" fillId="5" borderId="0" xfId="0" applyFont="1" applyFill="1" applyAlignment="1">
      <alignment horizontal="center"/>
    </xf>
    <xf numFmtId="0" fontId="4" fillId="7" borderId="0" xfId="0" applyFont="1" applyFill="1" applyAlignment="1">
      <alignment horizontal="center"/>
    </xf>
    <xf numFmtId="0" fontId="2" fillId="2" borderId="0" xfId="0" applyFont="1" applyFill="1" applyAlignment="1">
      <alignment horizontal="center" wrapText="1"/>
    </xf>
    <xf numFmtId="0" fontId="2" fillId="2" borderId="0" xfId="0" applyFont="1" applyFill="1" applyAlignment="1">
      <alignment horizontal="center" vertical="center" textRotation="90"/>
    </xf>
    <xf numFmtId="0" fontId="2" fillId="2" borderId="1" xfId="0" applyFont="1" applyFill="1" applyBorder="1" applyAlignment="1">
      <alignment horizontal="center" vertical="center" textRotation="90"/>
    </xf>
    <xf numFmtId="0" fontId="2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5" fillId="4" borderId="0" xfId="0" applyFont="1" applyFill="1" applyAlignment="1">
      <alignment horizontal="center" wrapText="1"/>
    </xf>
    <xf numFmtId="0" fontId="2" fillId="2" borderId="1" xfId="0" applyFont="1" applyFill="1" applyBorder="1" applyAlignment="1">
      <alignment horizontal="center" wrapText="1"/>
    </xf>
    <xf numFmtId="0" fontId="4" fillId="10" borderId="0" xfId="0" applyFont="1" applyFill="1" applyAlignment="1">
      <alignment horizontal="center"/>
    </xf>
    <xf numFmtId="0" fontId="0" fillId="9" borderId="0" xfId="0" applyFill="1" applyAlignment="1">
      <alignment horizontal="center"/>
    </xf>
    <xf numFmtId="0" fontId="2" fillId="2" borderId="0" xfId="0" applyFont="1" applyFill="1" applyAlignment="1" applyProtection="1">
      <alignment horizontal="center" wrapText="1"/>
      <protection locked="0"/>
    </xf>
    <xf numFmtId="0" fontId="2" fillId="2" borderId="0" xfId="0" applyFont="1" applyFill="1" applyAlignment="1" applyProtection="1">
      <alignment horizontal="center" vertical="center" textRotation="90"/>
      <protection locked="0"/>
    </xf>
    <xf numFmtId="0" fontId="2" fillId="2" borderId="1" xfId="0" applyFont="1" applyFill="1" applyBorder="1" applyAlignment="1" applyProtection="1">
      <alignment horizontal="center" vertical="center" textRotation="90"/>
      <protection locked="0"/>
    </xf>
  </cellXfs>
  <cellStyles count="2">
    <cellStyle name="Hyperlink" xfId="1" builtinId="8"/>
    <cellStyle name="Normal" xfId="0" builtinId="0"/>
  </cellStyles>
  <dxfs count="5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0" formatCode="General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6" formatCode="[$-5000445]0.00"/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left" vertical="bottom" textRotation="0" wrapText="0" indent="0" justifyLastLine="0" shrinkToFit="0" readingOrder="0"/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5" formatCode="[$-5000445]0.00&quot;%&quot;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Nikosh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b/>
      </font>
      <numFmt numFmtId="30" formatCode="@"/>
      <protection locked="1" hidden="0"/>
    </dxf>
    <dxf>
      <font>
        <b/>
      </font>
      <numFmt numFmtId="165" formatCode="[$-5000445]0.00&quot;%&quot;"/>
      <protection locked="1" hidden="0"/>
    </dxf>
    <dxf>
      <font>
        <b/>
      </font>
      <numFmt numFmtId="164" formatCode="[$-5000445]0"/>
      <alignment horizontal="center" vertical="bottom" textRotation="0" wrapText="0" indent="0" justifyLastLine="0" shrinkToFit="0" readingOrder="0"/>
      <protection locked="1" hidden="0"/>
    </dxf>
    <dxf>
      <font>
        <b/>
      </font>
      <numFmt numFmtId="164" formatCode="[$-5000445]0"/>
      <alignment horizontal="center" vertical="bottom" textRotation="0" wrapText="0" indent="0" justifyLastLine="0" shrinkToFit="0" readingOrder="0"/>
      <protection locked="1" hidden="0"/>
    </dxf>
    <dxf>
      <font>
        <b/>
      </font>
      <numFmt numFmtId="164" formatCode="[$-5000445]0"/>
      <alignment horizontal="center" vertical="bottom" textRotation="0" wrapText="0" indent="0" justifyLastLine="0" shrinkToFit="0" readingOrder="0"/>
      <protection locked="1" hidden="0"/>
    </dxf>
    <dxf>
      <font>
        <b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Nikosh"/>
        <scheme val="none"/>
      </font>
      <numFmt numFmtId="164" formatCode="[$-5000445]0"/>
      <alignment horizontal="center" vertical="bottom" textRotation="0" wrapText="0" indent="0" justifyLastLine="0" shrinkToFit="0" readingOrder="0"/>
      <protection locked="1" hidden="0"/>
    </dxf>
    <dxf>
      <font>
        <b/>
      </font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Nikosh"/>
        <scheme val="none"/>
      </font>
      <alignment horizontal="left" vertical="bottom" textRotation="0" wrapText="0" indent="0" justifyLastLine="0" shrinkToFit="0" readingOrder="0"/>
      <protection locked="1" hidden="0"/>
    </dxf>
  </dxfs>
  <tableStyles count="1" defaultTableStyle="TableStyleMedium2" defaultPivotStyle="PivotStyleLight16">
    <tableStyle name="Table Style 1" pivot="0" count="0" xr9:uid="{340B7244-2BB4-4355-BB04-0C80D3E510B1}"/>
  </tableStyles>
  <colors>
    <mruColors>
      <color rgb="FFFFA18B"/>
      <color rgb="FFA9D08E"/>
      <color rgb="FFFFD966"/>
      <color rgb="FFF49ECB"/>
      <color rgb="FFFFFF66"/>
      <color rgb="FFD0D0F8"/>
      <color rgb="FFEAEAFC"/>
      <color rgb="FFEFFFEF"/>
      <color rgb="FFF258DC"/>
      <color rgb="FFB590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ড্যাশবোর্ড!$C$3</c:f>
              <c:strCache>
                <c:ptCount val="1"/>
                <c:pt idx="0">
                  <c:v>আসমানখালী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ড্যাশবোর্ড!$G$3</c:f>
              <c:numCache>
                <c:formatCode>[$-5000445]0.00"%"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A0-4C4D-A5B8-53A419AAE023}"/>
            </c:ext>
          </c:extLst>
        </c:ser>
        <c:ser>
          <c:idx val="1"/>
          <c:order val="1"/>
          <c:tx>
            <c:strRef>
              <c:f>ড্যাশবোর্ড!$C$4</c:f>
              <c:strCache>
                <c:ptCount val="1"/>
                <c:pt idx="0">
                  <c:v>কালিদাসপুর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ড্যাশবোর্ড!$G$4</c:f>
              <c:numCache>
                <c:formatCode>[$-5000445]0.00"%"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FA0-4C4D-A5B8-53A419AAE023}"/>
            </c:ext>
          </c:extLst>
        </c:ser>
        <c:ser>
          <c:idx val="2"/>
          <c:order val="2"/>
          <c:tx>
            <c:strRef>
              <c:f>ড্যাশবোর্ড!$C$5</c:f>
              <c:strCache>
                <c:ptCount val="1"/>
                <c:pt idx="0">
                  <c:v>কুমারী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ড্যাশবোর্ড!$G$5</c:f>
              <c:numCache>
                <c:formatCode>[$-5000445]0.00"%"</c:formatCode>
                <c:ptCount val="1"/>
                <c:pt idx="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FA0-4C4D-A5B8-53A419AAE023}"/>
            </c:ext>
          </c:extLst>
        </c:ser>
        <c:ser>
          <c:idx val="3"/>
          <c:order val="3"/>
          <c:tx>
            <c:strRef>
              <c:f>ড্যাশবোর্ড!$C$6</c:f>
              <c:strCache>
                <c:ptCount val="1"/>
                <c:pt idx="0">
                  <c:v>খাসকররা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ড্যাশবোর্ড!$G$6</c:f>
              <c:numCache>
                <c:formatCode>[$-5000445]0.00"%"</c:formatCode>
                <c:ptCount val="1"/>
                <c:pt idx="0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FA0-4C4D-A5B8-53A419AAE023}"/>
            </c:ext>
          </c:extLst>
        </c:ser>
        <c:ser>
          <c:idx val="4"/>
          <c:order val="4"/>
          <c:tx>
            <c:strRef>
              <c:f>ড্যাশবোর্ড!$C$7</c:f>
              <c:strCache>
                <c:ptCount val="1"/>
                <c:pt idx="0">
                  <c:v>গোকুলখালী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ড্যাশবোর্ড!$G$7</c:f>
              <c:numCache>
                <c:formatCode>[$-5000445]0.00"%"</c:formatCode>
                <c:ptCount val="1"/>
                <c:pt idx="0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FA0-4C4D-A5B8-53A419AAE023}"/>
            </c:ext>
          </c:extLst>
        </c:ser>
        <c:ser>
          <c:idx val="5"/>
          <c:order val="5"/>
          <c:tx>
            <c:strRef>
              <c:f>ড্যাশবোর্ড!$C$8</c:f>
              <c:strCache>
                <c:ptCount val="1"/>
                <c:pt idx="0">
                  <c:v>ঘোলদাড়ী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ড্যাশবোর্ড!$G$8</c:f>
              <c:numCache>
                <c:formatCode>[$-5000445]0.00"%"</c:formatCode>
                <c:ptCount val="1"/>
                <c:pt idx="0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FA0-4C4D-A5B8-53A419AAE023}"/>
            </c:ext>
          </c:extLst>
        </c:ser>
        <c:ser>
          <c:idx val="6"/>
          <c:order val="6"/>
          <c:tx>
            <c:strRef>
              <c:f>ড্যাশবোর্ড!$C$9</c:f>
              <c:strCache>
                <c:ptCount val="1"/>
                <c:pt idx="0">
                  <c:v>ঘোষবিলা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ড্যাশবোর্ড!$G$9</c:f>
              <c:numCache>
                <c:formatCode>[$-5000445]0.00"%"</c:formatCode>
                <c:ptCount val="1"/>
                <c:pt idx="0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FA0-4C4D-A5B8-53A419AAE023}"/>
            </c:ext>
          </c:extLst>
        </c:ser>
        <c:ser>
          <c:idx val="7"/>
          <c:order val="7"/>
          <c:tx>
            <c:strRef>
              <c:f>ড্যাশবোর্ড!$C$10</c:f>
              <c:strCache>
                <c:ptCount val="1"/>
                <c:pt idx="0">
                  <c:v>ডাউকি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ড্যাশবোর্ড!$G$10</c:f>
              <c:numCache>
                <c:formatCode>[$-5000445]0.00"%"</c:formatCode>
                <c:ptCount val="1"/>
                <c:pt idx="0">
                  <c:v>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FA0-4C4D-A5B8-53A419AAE023}"/>
            </c:ext>
          </c:extLst>
        </c:ser>
        <c:ser>
          <c:idx val="8"/>
          <c:order val="8"/>
          <c:tx>
            <c:strRef>
              <c:f>ড্যাশবোর্ড!$C$11</c:f>
              <c:strCache>
                <c:ptCount val="1"/>
                <c:pt idx="0">
                  <c:v>পৌর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ড্যাশবোর্ড!$G$11</c:f>
              <c:numCache>
                <c:formatCode>[$-5000445]0.00"%"</c:formatCode>
                <c:ptCount val="1"/>
                <c:pt idx="0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FA0-4C4D-A5B8-53A419AAE023}"/>
            </c:ext>
          </c:extLst>
        </c:ser>
        <c:ser>
          <c:idx val="9"/>
          <c:order val="9"/>
          <c:tx>
            <c:strRef>
              <c:f>ড্যাশবোর্ড!$C$12</c:f>
              <c:strCache>
                <c:ptCount val="1"/>
                <c:pt idx="0">
                  <c:v>মুন্সিগঞ্জ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ড্যাশবোর্ড!$G$12</c:f>
              <c:numCache>
                <c:formatCode>[$-5000445]0.00"%"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FA0-4C4D-A5B8-53A419AAE023}"/>
            </c:ext>
          </c:extLst>
        </c:ser>
        <c:ser>
          <c:idx val="10"/>
          <c:order val="10"/>
          <c:tx>
            <c:strRef>
              <c:f>ড্যাশবোর্ড!$C$13</c:f>
              <c:strCache>
                <c:ptCount val="1"/>
                <c:pt idx="0">
                  <c:v>হারদী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ড্যাশবোর্ড!$G$2</c:f>
              <c:strCache>
                <c:ptCount val="1"/>
                <c:pt idx="0">
                  <c:v>অর্জনের হার (%)</c:v>
                </c:pt>
              </c:strCache>
            </c:strRef>
          </c:cat>
          <c:val>
            <c:numRef>
              <c:f>ড্যাশবোর্ড!$G$13</c:f>
              <c:numCache>
                <c:formatCode>[$-5000445]0.00"%"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FA0-4C4D-A5B8-53A419AAE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0002680"/>
        <c:axId val="680003040"/>
      </c:barChart>
      <c:catAx>
        <c:axId val="680002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03040"/>
        <c:crosses val="autoZero"/>
        <c:auto val="1"/>
        <c:lblAlgn val="ctr"/>
        <c:lblOffset val="100"/>
        <c:noMultiLvlLbl val="0"/>
      </c:catAx>
      <c:valAx>
        <c:axId val="68000304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5000445]0.00&quot;%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002680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ikosh"/>
                <a:ea typeface="Nikosh"/>
                <a:cs typeface="Nikosh"/>
              </a:defRPr>
            </a:pPr>
            <a:r>
              <a:rPr lang="bn-BD"/>
              <a:t>মাসিক মূল্যায়ন চার্ট/ আসমানখালী/ আগস্ট/২০২৪</a:t>
            </a:r>
          </a:p>
        </c:rich>
      </c:tx>
      <c:overlay val="0"/>
      <c:spPr>
        <a:solidFill>
          <a:schemeClr val="accent2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Nikosh"/>
              <a:ea typeface="Nikosh"/>
              <a:cs typeface="Nikosh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6341986430370558E-2"/>
          <c:y val="0.18164516084704072"/>
          <c:w val="0.93616979433766745"/>
          <c:h val="0.782396559068859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আসমানখালী!$C$26:$C$43</c:f>
              <c:strCache>
                <c:ptCount val="18"/>
                <c:pt idx="0">
                  <c:v>ভূমি উন্নয়ন কর আদায় (সাধারণ)</c:v>
                </c:pt>
                <c:pt idx="1">
                  <c:v>ভূমি উন্নয়ন কর আদায় (সংস্থা)</c:v>
                </c:pt>
                <c:pt idx="2">
                  <c:v>সরকারি জমি পরিদর্শন</c:v>
                </c:pt>
                <c:pt idx="3">
                  <c:v>এস. এফ. সংক্রান্ত প্রতিবেদন প্রেরণ</c:v>
                </c:pt>
                <c:pt idx="4">
                  <c:v>অতিরিক্ত জেলা ম‌্যাজিস্ট্রেট আদালতের পিটিশন মামলার তদন্ত প্রতিবেদন</c:v>
                </c:pt>
                <c:pt idx="5">
                  <c:v>ভি.পি. লিজ নবায়নের প্রতিবেদন</c:v>
                </c:pt>
                <c:pt idx="6">
                  <c:v>মিসকেস সংক্রান্ত প্রতিবেদন</c:v>
                </c:pt>
                <c:pt idx="7">
                  <c:v>সরকারি জমিতে অবৈধ দখল সংক্রান্ত প্রতিবেদন</c:v>
                </c:pt>
                <c:pt idx="8">
                  <c:v>আশ্রয়ণ ও আবাসন পরিদর্শন</c:v>
                </c:pt>
                <c:pt idx="9">
                  <c:v>রিটার্ন-০৩ দাখিল</c:v>
                </c:pt>
                <c:pt idx="10">
                  <c:v>রেন্ট সার্টিফিকেট মামলা দায়ের</c:v>
                </c:pt>
                <c:pt idx="11">
                  <c:v>উপজেলা ভূমি অফিস কর্তৃক প্রেরিত বিবিধ চিঠির জবাব</c:v>
                </c:pt>
                <c:pt idx="12">
                  <c:v>নামজারি মামলা সংক্রান্ত প্রতিবেদন</c:v>
                </c:pt>
                <c:pt idx="13">
                  <c:v>হোল্ডিং অনুমোদনের সংখ‌্যা</c:v>
                </c:pt>
                <c:pt idx="14">
                  <c:v>রেজিস্টার-০২ হালনাগাদকরণ</c:v>
                </c:pt>
                <c:pt idx="15">
                  <c:v>সংশোধিত/ নামজারি খতিয়ানের তামিলকরণ এবং তামিল প্রতিবেদন প্রেরণ</c:v>
                </c:pt>
                <c:pt idx="16">
                  <c:v>পত্রপ্রাপ্তির সংখ্যা</c:v>
                </c:pt>
                <c:pt idx="17">
                  <c:v>পত্রজারির সংখ্যা</c:v>
                </c:pt>
              </c:strCache>
            </c:strRef>
          </c:cat>
          <c:val>
            <c:numRef>
              <c:f>আসমানখালী!$D$26:$D$43</c:f>
              <c:numCache>
                <c:formatCode>[$-5000445]0"%"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0-04E3-45B0-89CA-EA86653FAC2B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আসমানখালী!$C$26:$C$43</c:f>
              <c:strCache>
                <c:ptCount val="18"/>
                <c:pt idx="0">
                  <c:v>ভূমি উন্নয়ন কর আদায় (সাধারণ)</c:v>
                </c:pt>
                <c:pt idx="1">
                  <c:v>ভূমি উন্নয়ন কর আদায় (সংস্থা)</c:v>
                </c:pt>
                <c:pt idx="2">
                  <c:v>সরকারি জমি পরিদর্শন</c:v>
                </c:pt>
                <c:pt idx="3">
                  <c:v>এস. এফ. সংক্রান্ত প্রতিবেদন প্রেরণ</c:v>
                </c:pt>
                <c:pt idx="4">
                  <c:v>অতিরিক্ত জেলা ম‌্যাজিস্ট্রেট আদালতের পিটিশন মামলার তদন্ত প্রতিবেদন</c:v>
                </c:pt>
                <c:pt idx="5">
                  <c:v>ভি.পি. লিজ নবায়নের প্রতিবেদন</c:v>
                </c:pt>
                <c:pt idx="6">
                  <c:v>মিসকেস সংক্রান্ত প্রতিবেদন</c:v>
                </c:pt>
                <c:pt idx="7">
                  <c:v>সরকারি জমিতে অবৈধ দখল সংক্রান্ত প্রতিবেদন</c:v>
                </c:pt>
                <c:pt idx="8">
                  <c:v>আশ্রয়ণ ও আবাসন পরিদর্শন</c:v>
                </c:pt>
                <c:pt idx="9">
                  <c:v>রিটার্ন-০৩ দাখিল</c:v>
                </c:pt>
                <c:pt idx="10">
                  <c:v>রেন্ট সার্টিফিকেট মামলা দায়ের</c:v>
                </c:pt>
                <c:pt idx="11">
                  <c:v>উপজেলা ভূমি অফিস কর্তৃক প্রেরিত বিবিধ চিঠির জবাব</c:v>
                </c:pt>
                <c:pt idx="12">
                  <c:v>নামজারি মামলা সংক্রান্ত প্রতিবেদন</c:v>
                </c:pt>
                <c:pt idx="13">
                  <c:v>হোল্ডিং অনুমোদনের সংখ‌্যা</c:v>
                </c:pt>
                <c:pt idx="14">
                  <c:v>রেজিস্টার-০২ হালনাগাদকরণ</c:v>
                </c:pt>
                <c:pt idx="15">
                  <c:v>সংশোধিত/ নামজারি খতিয়ানের তামিলকরণ এবং তামিল প্রতিবেদন প্রেরণ</c:v>
                </c:pt>
                <c:pt idx="16">
                  <c:v>পত্রপ্রাপ্তির সংখ্যা</c:v>
                </c:pt>
                <c:pt idx="17">
                  <c:v>পত্রজারির সংখ্যা</c:v>
                </c:pt>
              </c:strCache>
            </c:strRef>
          </c:cat>
          <c:val>
            <c:numRef>
              <c:f>আসমানখালী!$E$26:$E$43</c:f>
              <c:numCache>
                <c:formatCode>[$-5000445]0.00"%"</c:formatCode>
                <c:ptCount val="18"/>
                <c:pt idx="0">
                  <c:v>0</c:v>
                </c:pt>
                <c:pt idx="1">
                  <c:v>0</c:v>
                </c:pt>
                <c:pt idx="13">
                  <c:v>71.428571428571431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E3-45B0-89CA-EA86653FA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axId val="634403880"/>
        <c:axId val="634402080"/>
      </c:barChart>
      <c:catAx>
        <c:axId val="634403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accent4">
              <a:lumMod val="20000"/>
              <a:lumOff val="80000"/>
            </a:schemeClr>
          </a:solidFill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Nikosh" panose="02000000000000000000" pitchFamily="2" charset="0"/>
                <a:ea typeface="+mn-ea"/>
                <a:cs typeface="Nikosh" panose="02000000000000000000" pitchFamily="2" charset="0"/>
              </a:defRPr>
            </a:pPr>
            <a:endParaRPr lang="en-US"/>
          </a:p>
        </c:txPr>
        <c:crossAx val="634402080"/>
        <c:crosses val="autoZero"/>
        <c:auto val="1"/>
        <c:lblAlgn val="ctr"/>
        <c:lblOffset val="100"/>
        <c:noMultiLvlLbl val="0"/>
      </c:catAx>
      <c:valAx>
        <c:axId val="63440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/>
                  <a:t>একক</a:t>
                </a:r>
              </a:p>
            </c:rich>
          </c:tx>
          <c:layout>
            <c:manualLayout>
              <c:xMode val="edge"/>
              <c:yMode val="edge"/>
              <c:x val="5.3409393384669795E-3"/>
              <c:y val="0.322573878490477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5000445]0&quot;%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403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EFFFE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13</xdr:row>
      <xdr:rowOff>125730</xdr:rowOff>
    </xdr:from>
    <xdr:to>
      <xdr:col>7</xdr:col>
      <xdr:colOff>1176867</xdr:colOff>
      <xdr:row>25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C4C7E7-ACA0-66DE-4FA1-A6815C341D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139700</xdr:colOff>
      <xdr:row>24</xdr:row>
      <xdr:rowOff>0</xdr:rowOff>
    </xdr:from>
    <xdr:to>
      <xdr:col>15</xdr:col>
      <xdr:colOff>238125</xdr:colOff>
      <xdr:row>44</xdr:row>
      <xdr:rowOff>164039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D9A510-FBAB-0032-15EC-213BD65BA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84666</xdr:colOff>
      <xdr:row>0</xdr:row>
      <xdr:rowOff>42334</xdr:rowOff>
    </xdr:from>
    <xdr:ext cx="1397000" cy="359834"/>
    <xdr:sp macro="[0]!Goto_CurMonth" textlink="">
      <xdr:nvSpPr>
        <xdr:cNvPr id="3" name="Rectangle 2">
          <a:extLst>
            <a:ext uri="{FF2B5EF4-FFF2-40B4-BE49-F238E27FC236}">
              <a16:creationId xmlns:a16="http://schemas.microsoft.com/office/drawing/2014/main" id="{ABFD5451-AFD8-40F5-8C9F-D7A0B7B02367}"/>
            </a:ext>
          </a:extLst>
        </xdr:cNvPr>
        <xdr:cNvSpPr/>
      </xdr:nvSpPr>
      <xdr:spPr>
        <a:xfrm>
          <a:off x="8202083" y="42334"/>
          <a:ext cx="1397000" cy="359834"/>
        </a:xfrm>
        <a:prstGeom prst="rect">
          <a:avLst/>
        </a:prstGeom>
        <a:gradFill>
          <a:gsLst>
            <a:gs pos="0">
              <a:schemeClr val="accent2">
                <a:lumMod val="110000"/>
                <a:satMod val="105000"/>
                <a:tint val="67000"/>
              </a:schemeClr>
            </a:gs>
            <a:gs pos="50000">
              <a:schemeClr val="accent2">
                <a:lumMod val="105000"/>
                <a:satMod val="103000"/>
                <a:tint val="73000"/>
              </a:schemeClr>
            </a:gs>
            <a:gs pos="100000">
              <a:schemeClr val="accent2">
                <a:lumMod val="105000"/>
                <a:satMod val="109000"/>
                <a:tint val="81000"/>
              </a:schemeClr>
            </a:gs>
          </a:gsLst>
        </a:gradFill>
        <a:effectLst>
          <a:glow rad="50800">
            <a:schemeClr val="accent1">
              <a:alpha val="54000"/>
            </a:scheme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tIns="9144" bIns="9144" spcCol="0" rtlCol="0" anchor="ctr">
          <a:noAutofit/>
        </a:bodyPr>
        <a:lstStyle/>
        <a:p>
          <a:pPr algn="ctr"/>
          <a:r>
            <a:rPr lang="en-US" sz="1200" b="1"/>
            <a:t>বর্তমান মাসের তথ্যে</a:t>
          </a:r>
          <a:r>
            <a:rPr lang="en-US" sz="1200" b="1" baseline="0"/>
            <a:t> যান</a:t>
          </a:r>
          <a:endParaRPr lang="en-US" sz="1200" b="1"/>
        </a:p>
        <a:p>
          <a:pPr algn="ctr"/>
          <a:endParaRPr lang="en-US" sz="1200" b="1"/>
        </a:p>
      </xdr:txBody>
    </xdr:sp>
    <xdr:clientData/>
  </xdr:oneCellAnchor>
  <xdr:oneCellAnchor>
    <xdr:from>
      <xdr:col>10</xdr:col>
      <xdr:colOff>158750</xdr:colOff>
      <xdr:row>0</xdr:row>
      <xdr:rowOff>0</xdr:rowOff>
    </xdr:from>
    <xdr:ext cx="1926167" cy="433916"/>
    <xdr:sp macro="[0]!GoTo_cell_Sel_Month" textlink="">
      <xdr:nvSpPr>
        <xdr:cNvPr id="4" name="Rectangle 3">
          <a:extLst>
            <a:ext uri="{FF2B5EF4-FFF2-40B4-BE49-F238E27FC236}">
              <a16:creationId xmlns:a16="http://schemas.microsoft.com/office/drawing/2014/main" id="{D033BB4D-5EF9-446E-8346-1A29A227DA78}"/>
            </a:ext>
          </a:extLst>
        </xdr:cNvPr>
        <xdr:cNvSpPr/>
      </xdr:nvSpPr>
      <xdr:spPr>
        <a:xfrm>
          <a:off x="9810750" y="0"/>
          <a:ext cx="1926167" cy="433916"/>
        </a:xfrm>
        <a:prstGeom prst="rect">
          <a:avLst/>
        </a:prstGeom>
        <a:gradFill>
          <a:gsLst>
            <a:gs pos="0">
              <a:schemeClr val="accent2">
                <a:lumMod val="110000"/>
                <a:satMod val="105000"/>
                <a:tint val="67000"/>
              </a:schemeClr>
            </a:gs>
            <a:gs pos="50000">
              <a:schemeClr val="accent2">
                <a:lumMod val="105000"/>
                <a:satMod val="103000"/>
                <a:tint val="73000"/>
              </a:schemeClr>
            </a:gs>
            <a:gs pos="100000">
              <a:schemeClr val="accent2">
                <a:lumMod val="105000"/>
                <a:satMod val="109000"/>
                <a:tint val="81000"/>
              </a:schemeClr>
            </a:gs>
          </a:gsLst>
        </a:gradFill>
        <a:effectLst>
          <a:glow rad="50800">
            <a:schemeClr val="accent1">
              <a:alpha val="54000"/>
            </a:scheme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tIns="9144" bIns="9144" spcCol="0" rtlCol="0" anchor="ctr">
          <a:noAutofit/>
        </a:bodyPr>
        <a:lstStyle/>
        <a:p>
          <a:pPr algn="ctr"/>
          <a:r>
            <a:rPr lang="en-US" sz="1100" b="1"/>
            <a:t>অন্য</a:t>
          </a:r>
          <a:r>
            <a:rPr lang="en-US" sz="1100" b="1" baseline="0"/>
            <a:t> মাসে যেতে </a:t>
          </a:r>
          <a:r>
            <a:rPr lang="en-US" sz="1050" b="1" baseline="0"/>
            <a:t>ডানের</a:t>
          </a:r>
          <a:r>
            <a:rPr lang="en-US" sz="1100" b="1" baseline="0"/>
            <a:t> অপশন থেকে সিলেক্ট করুন এবং এখানে ক্লিক করুন</a:t>
          </a:r>
          <a:endParaRPr lang="en-US" sz="1100" b="1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485774</xdr:colOff>
      <xdr:row>0</xdr:row>
      <xdr:rowOff>9526</xdr:rowOff>
    </xdr:from>
    <xdr:ext cx="1343025" cy="171450"/>
    <xdr:sp macro="[0]!Input_Goto_CurMonth" textlink="">
      <xdr:nvSpPr>
        <xdr:cNvPr id="2" name="Rectangle 1">
          <a:extLst>
            <a:ext uri="{FF2B5EF4-FFF2-40B4-BE49-F238E27FC236}">
              <a16:creationId xmlns:a16="http://schemas.microsoft.com/office/drawing/2014/main" id="{215AD705-F16A-4F37-A689-F5A1A107C6E3}"/>
            </a:ext>
          </a:extLst>
        </xdr:cNvPr>
        <xdr:cNvSpPr/>
      </xdr:nvSpPr>
      <xdr:spPr>
        <a:xfrm>
          <a:off x="10515599" y="9526"/>
          <a:ext cx="1343025" cy="171450"/>
        </a:xfrm>
        <a:prstGeom prst="rect">
          <a:avLst/>
        </a:prstGeom>
        <a:gradFill>
          <a:gsLst>
            <a:gs pos="0">
              <a:schemeClr val="accent2">
                <a:lumMod val="110000"/>
                <a:satMod val="105000"/>
                <a:tint val="67000"/>
              </a:schemeClr>
            </a:gs>
            <a:gs pos="50000">
              <a:schemeClr val="accent2">
                <a:lumMod val="105000"/>
                <a:satMod val="103000"/>
                <a:tint val="73000"/>
              </a:schemeClr>
            </a:gs>
            <a:gs pos="100000">
              <a:schemeClr val="accent2">
                <a:lumMod val="105000"/>
                <a:satMod val="109000"/>
                <a:tint val="81000"/>
              </a:schemeClr>
            </a:gs>
          </a:gsLst>
        </a:gradFill>
        <a:effectLst>
          <a:glow rad="50800">
            <a:schemeClr val="accent1">
              <a:alpha val="54000"/>
            </a:schemeClr>
          </a:glo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tIns="9144" bIns="9144" spcCol="0" rtlCol="0" anchor="t">
          <a:noAutofit/>
        </a:bodyPr>
        <a:lstStyle/>
        <a:p>
          <a:pPr algn="ctr"/>
          <a:r>
            <a:rPr lang="en-US" sz="1100" b="1"/>
            <a:t>বর্তমান মাসের তথ্যে</a:t>
          </a:r>
          <a:r>
            <a:rPr lang="en-US" sz="1100" b="1" baseline="0"/>
            <a:t> যান</a:t>
          </a:r>
        </a:p>
        <a:p>
          <a:pPr algn="ctr"/>
          <a:endParaRPr lang="en-US" sz="1100" b="1"/>
        </a:p>
        <a:p>
          <a:pPr algn="ctr"/>
          <a:endParaRPr lang="en-US" sz="1100" b="1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1693ED-5BE6-4194-A2AD-47E2AA1CB9F2}" name="ULAO_Summarized" displayName="ULAO_Summarized" ref="B2:H13" totalsRowShown="0" headerRowDxfId="502" dataDxfId="501">
  <autoFilter ref="B2:H13" xr:uid="{121693ED-5BE6-4194-A2AD-47E2AA1CB9F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EFAEA5D6-EEDD-493B-B099-330D9275CC34}" name="ক্রমিক নং" dataDxfId="500"/>
    <tableColumn id="2" xr3:uid="{A9C1C07A-E7BD-4C62-AD6F-76A2FF299A5D}" name="অফিসের নাম" dataDxfId="499"/>
    <tableColumn id="3" xr3:uid="{3F23EE5A-E5AC-4565-BC8D-8F58F97034FC}" name="একক" dataDxfId="498"/>
    <tableColumn id="4" xr3:uid="{675827B0-1B2C-4D54-8BD3-481E9D95CD7F}" name="অর্জন" dataDxfId="497"/>
    <tableColumn id="5" xr3:uid="{FDB602B2-1F65-4181-A733-E5D6E36C460F}" name="অবশিষ্ট" dataDxfId="496"/>
    <tableColumn id="6" xr3:uid="{897193C0-74A4-4EF8-8514-90D2B2571B71}" name="অর্জনের হার (%)" dataDxfId="495"/>
    <tableColumn id="7" xr3:uid="{DC6C327F-0E65-4B9A-8DEF-AFC311B56CF6}" name="মন্তব্য" dataDxfId="494"/>
  </tableColumns>
  <tableStyleInfo name="TableStyleMedium2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8DC76-D2A2-4D98-AB97-73CB143D3098}" name="UpozillaAtAGlanceTable" displayName="UpozillaAtAGlanceTable" ref="K3:O11" totalsRowShown="0" headerRowDxfId="493" dataDxfId="492">
  <autoFilter ref="K3:O11" xr:uid="{2D08DC76-D2A2-4D98-AB97-73CB143D309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56B506F-EF6E-4089-8A93-F436FF40F731}" name="নাম" dataDxfId="491"/>
    <tableColumn id="2" xr3:uid="{024ACB2E-BC30-4C4D-A9F6-FE875FAE0A02}" name="অর্জন" dataDxfId="490"/>
    <tableColumn id="3" xr3:uid="{FF400277-83E3-442D-A5A0-C0EB732FCA54}" name="লক্ষ্য" dataDxfId="489"/>
    <tableColumn id="4" xr3:uid="{985FD66D-E53A-4232-AC7D-6577E2328F96}" name="অর্জনের হার" dataDxfId="488"/>
    <tableColumn id="5" xr3:uid="{DD35F9C6-CC49-4194-B6DD-4E179752F262}" name="পুঞ্জীভূত" dataDxfId="487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EFB72D-2B27-4AEA-93E3-2B6266D702CF}" name="Table2" displayName="Table2" ref="B2:H21" totalsRowShown="0" headerRowDxfId="486" dataDxfId="485">
  <autoFilter ref="B2:H21" xr:uid="{05EFB72D-2B27-4AEA-93E3-2B6266D702C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1FC9CCE-78B6-42D5-90BF-3B9C41C58234}" name="ক্রমিক নং" dataDxfId="484"/>
    <tableColumn id="2" xr3:uid="{7CA458EC-ABA3-4696-B4DB-E67BACFC08BE}" name="অর্পিত দায়িত্ব" dataDxfId="483"/>
    <tableColumn id="3" xr3:uid="{D964B84C-9585-4030-95F5-DCAF0D1AC8C2}" name="একক" dataDxfId="482"/>
    <tableColumn id="4" xr3:uid="{90D63181-315E-4CF5-80D7-DDD836C9E359}" name="অর্জন" dataDxfId="481"/>
    <tableColumn id="5" xr3:uid="{EEF6A779-B12E-489C-A6EE-3E47D607F500}" name="অবশিষ্ট" dataDxfId="480"/>
    <tableColumn id="6" xr3:uid="{2B7E1633-6121-485F-85FC-B31170056E40}" name="অর্জনের হার (%)" dataDxfId="479"/>
    <tableColumn id="7" xr3:uid="{B9A5E680-A6DC-4715-8FCB-9A42380D9520}" name="মন্তব্য" dataDxfId="478"/>
  </tableColumns>
  <tableStyleInfo name="TableStyleMedium2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09E2FA-8A67-49D5-9B04-5510AB3C81D5}" name="LDTaxTargetTable" displayName="LDTaxTargetTable" ref="J5:L10" totalsRowShown="0" headerRowDxfId="477" dataDxfId="476">
  <autoFilter ref="J5:L10" xr:uid="{F909E2FA-8A67-49D5-9B04-5510AB3C81D5}">
    <filterColumn colId="0" hiddenButton="1"/>
    <filterColumn colId="1" hiddenButton="1"/>
    <filterColumn colId="2" hiddenButton="1"/>
  </autoFilter>
  <tableColumns count="3">
    <tableColumn id="1" xr3:uid="{9CD15D62-FDB3-4523-9954-207EA4661402}" name="নাম" dataDxfId="475"/>
    <tableColumn id="2" xr3:uid="{3955F610-D068-4620-BAE0-743283CEECE2}" name="সাধারণ" dataDxfId="474">
      <calculatedColumnFormula>IF(ISBLANK($K$6),"",K5/12)</calculatedColumnFormula>
    </tableColumn>
    <tableColumn id="3" xr3:uid="{8335935C-EB80-4AAA-AFCC-CEE75E354594}" name="সংস্থা" dataDxfId="473">
      <calculatedColumnFormula>IF(ISBLANK($L$6),"",L5/12)</calculatedColumnFormula>
    </tableColumn>
  </tableColumns>
  <tableStyleInfo name="TableStyleMedium2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AC999B-3FC3-4D76-A074-97379978512B}" name="HoldingApprovalTable" displayName="HoldingApprovalTable" ref="J14:L15" totalsRowShown="0" headerRowDxfId="472" dataDxfId="471">
  <autoFilter ref="J14:L15" xr:uid="{56AC999B-3FC3-4D76-A074-97379978512B}">
    <filterColumn colId="0" hiddenButton="1"/>
    <filterColumn colId="1" hiddenButton="1"/>
    <filterColumn colId="2" hiddenButton="1"/>
  </autoFilter>
  <tableColumns count="3">
    <tableColumn id="1" xr3:uid="{9ACA3B78-5ADD-4B99-BBDB-264936337397}" name="পেন্ডিং" dataDxfId="470">
      <calculatedColumnFormula>CHOOSE(MONTH(TODAY()),Input!C161,Input!C185,Input!C209,Input!C233,Input!C257,Input!C281,Input!C17,Input!C41,Input!C65,Input!C89,Input!C113,Input!C137)</calculatedColumnFormula>
    </tableColumn>
    <tableColumn id="2" xr3:uid="{349CE780-B03A-4BD5-A374-7FA02EFA463A}" name="অনুমোদন" dataDxfId="469">
      <calculatedColumnFormula>CHOOSE(MONTH(TODAY()),Input!C162,Input!C186,Input!C210,Input!C234,Input!C258,Input!C282,Input!C18,Input!C42,Input!C66,Input!C90,Input!C114,Input!C138)</calculatedColumnFormula>
    </tableColumn>
    <tableColumn id="3" xr3:uid="{F87AFA39-B94D-483C-81F0-30E4CD8B8877}" name="অনুমোদনের হার" dataDxfId="468">
      <calculatedColumnFormula>IF(OR(ISBLANK(J15),ISBLANK(K15)),"",(K15/J15)*100)</calculatedColumnFormula>
    </tableColumn>
  </tableColumns>
  <tableStyleInfo name="TableStyleMedium2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3F9AFF-6BEA-41C0-8278-F5CBAC027B42}" name="Table28" displayName="Table28" ref="B25:H44" totalsRowShown="0" headerRowDxfId="467" dataDxfId="466">
  <autoFilter ref="B25:H44" xr:uid="{6E3F9AFF-6BEA-41C0-8278-F5CBAC027B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237D0074-0889-42C9-9F47-16335B1D534F}" name="ক্রমিক নং" dataDxfId="465"/>
    <tableColumn id="2" xr3:uid="{4CA3796A-4B3F-4AC3-A969-EFE346C74AC2}" name="অর্পিত দায়িত্ব" dataDxfId="464"/>
    <tableColumn id="3" xr3:uid="{B599E718-4FCD-42F9-9E02-8CAACFD4373D}" name="একক" dataDxfId="463"/>
    <tableColumn id="4" xr3:uid="{A1CE769D-ABAF-460D-9294-06CC3D0E08D9}" name="অর্জন" dataDxfId="462"/>
    <tableColumn id="5" xr3:uid="{FD211265-5264-4A53-B137-86C30A837E72}" name="অবশিষ্ট" dataDxfId="461"/>
    <tableColumn id="6" xr3:uid="{6642DA35-966D-4C90-92F8-638B5FC92F53}" name="অর্জনের হার (%)" dataDxfId="460"/>
    <tableColumn id="7" xr3:uid="{07A918E5-1AA1-4F81-A5C4-03054703680F}" name="মন্তব্য" dataDxfId="459"/>
  </tableColumns>
  <tableStyleInfo name="TableStyleMedium2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4394C02-77FD-45CA-89E6-93A5CC2DEB7F}" name="Table29" displayName="Table29" ref="B48:H67" totalsRowShown="0" headerRowDxfId="458" dataDxfId="457">
  <autoFilter ref="B48:H67" xr:uid="{04394C02-77FD-45CA-89E6-93A5CC2DEB7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5538C491-18E2-4C7B-A839-6A22A2E12FA7}" name="ক্রমিক নং" dataDxfId="456"/>
    <tableColumn id="2" xr3:uid="{7D0125C8-B282-42B2-99CD-31E67394963C}" name="অর্পিত দায়িত্ব" dataDxfId="455"/>
    <tableColumn id="3" xr3:uid="{AA29B82B-AF3F-419E-8C3F-EE5473A3C8F8}" name="একক" dataDxfId="454"/>
    <tableColumn id="4" xr3:uid="{2DFC694A-2FB7-4D3C-B2B1-21FED867C422}" name="অর্জন" dataDxfId="453"/>
    <tableColumn id="5" xr3:uid="{28CD6EBC-158C-479D-9B86-FBF7E9CCFE22}" name="অবশিষ্ট" dataDxfId="452"/>
    <tableColumn id="6" xr3:uid="{C6AD2F22-3EF1-484F-A58C-135745F1BF77}" name="অর্জনের হার (%)" dataDxfId="451"/>
    <tableColumn id="7" xr3:uid="{B8EB4DB4-6041-4E1D-9298-9AC81E980172}" name="মন্তব্য" dataDxfId="450"/>
  </tableColumns>
  <tableStyleInfo name="TableStyleMedium2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37FABB5-BD8A-4007-95C0-A1CE6B6804AA}" name="Table210" displayName="Table210" ref="B71:H90" totalsRowShown="0" headerRowDxfId="449" dataDxfId="448">
  <autoFilter ref="B71:H90" xr:uid="{437FABB5-BD8A-4007-95C0-A1CE6B6804A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AD67D15-DCAB-477A-A25C-303AA2066F09}" name="ক্রমিক নং" dataDxfId="447"/>
    <tableColumn id="2" xr3:uid="{1B70D99A-7328-4222-AC46-34E20C140023}" name="অর্পিত দায়িত্ব" dataDxfId="446"/>
    <tableColumn id="3" xr3:uid="{BE6397F1-9C60-4878-90A8-83834786E62F}" name="একক" dataDxfId="445"/>
    <tableColumn id="4" xr3:uid="{221A442D-FD0F-458B-AE55-2873D8BD2DB1}" name="অর্জন" dataDxfId="444"/>
    <tableColumn id="5" xr3:uid="{99B710CC-5980-415B-9EE7-E6ED15FE714A}" name="অবশিষ্ট" dataDxfId="443"/>
    <tableColumn id="6" xr3:uid="{8B2BF6E2-F9CF-4393-911E-902D31B2A36E}" name="অর্জনের হার (%)" dataDxfId="442"/>
    <tableColumn id="7" xr3:uid="{821EBC98-DF54-4EF8-B28F-4EC6F711344B}" name="মন্তব্য" dataDxfId="441"/>
  </tableColumns>
  <tableStyleInfo name="TableStyleMedium2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8B63111-8424-41CD-BCA7-49A8A39AAB10}" name="Table211" displayName="Table211" ref="B94:H113" totalsRowShown="0" headerRowDxfId="440" dataDxfId="439">
  <autoFilter ref="B94:H113" xr:uid="{C8B63111-8424-41CD-BCA7-49A8A39AAB1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84D2C51-5B87-4980-B4F5-C0123FF7EA13}" name="ক্রমিক নং" dataDxfId="438"/>
    <tableColumn id="2" xr3:uid="{424D19E8-E245-4EDF-A775-A4303FD7D0A7}" name="অর্পিত দায়িত্ব" dataDxfId="437"/>
    <tableColumn id="3" xr3:uid="{2249D03B-0A6E-4EBE-B36C-B8BF7A445A4D}" name="একক" dataDxfId="436"/>
    <tableColumn id="4" xr3:uid="{DD2FDC92-222A-4519-820B-86A7A8DD0E0B}" name="অর্জন" dataDxfId="435"/>
    <tableColumn id="5" xr3:uid="{78A6CE67-2757-47FA-83E1-5490B84EFD37}" name="অবশিষ্ট" dataDxfId="434"/>
    <tableColumn id="6" xr3:uid="{390BFBCE-B18F-4D1E-A7A5-F6F3F0CADFEB}" name="অর্জনের হার (%)" dataDxfId="433"/>
    <tableColumn id="7" xr3:uid="{94E7D305-2DAD-4F8E-B196-ABF2D3D59072}" name="মন্তব্য" dataDxfId="432"/>
  </tableColumns>
  <tableStyleInfo name="TableStyleMedium2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953459-715A-4901-9C1D-08FA40ABE098}" name="Table213" displayName="Table213" ref="B117:H136" totalsRowShown="0" headerRowDxfId="431" dataDxfId="430">
  <autoFilter ref="B117:H136" xr:uid="{35953459-715A-4901-9C1D-08FA40ABE09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2E571CCA-383E-45AF-89B6-538909B722B9}" name="ক্রমিক নং" dataDxfId="429"/>
    <tableColumn id="2" xr3:uid="{46CE4FF7-8008-4033-8227-EDEFB5B1BC65}" name="অর্পিত দায়িত্ব" dataDxfId="428"/>
    <tableColumn id="3" xr3:uid="{90CA5E5E-1E0B-4CB5-8FC5-CCB0FC9353F4}" name="একক" dataDxfId="427"/>
    <tableColumn id="4" xr3:uid="{4B217A54-3500-417C-A86C-68F30F839DC0}" name="অর্জন" dataDxfId="426"/>
    <tableColumn id="5" xr3:uid="{3107CB4E-DA0D-4F22-A03A-4FC059BC90BA}" name="অবশিষ্ট" dataDxfId="425"/>
    <tableColumn id="6" xr3:uid="{A69CAB32-45D0-4C21-AC1C-FA993B6ED6E7}" name="অর্জনের হার (%)" dataDxfId="424"/>
    <tableColumn id="7" xr3:uid="{612E8227-16E4-42D0-A902-F2D46B00077C}" name="মন্তব্য" dataDxfId="423"/>
  </tableColumns>
  <tableStyleInfo name="TableStyleMedium2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5C7FA4-6FEF-46FB-9DF9-B05A99C3C692}" name="Table214" displayName="Table214" ref="B140:H159" totalsRowShown="0" headerRowDxfId="422" dataDxfId="421">
  <autoFilter ref="B140:H159" xr:uid="{985C7FA4-6FEF-46FB-9DF9-B05A99C3C69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7D76DB81-1DC7-402E-87F4-5E5BB0509D7F}" name="ক্রমিক নং" dataDxfId="420"/>
    <tableColumn id="2" xr3:uid="{50AC81FF-385F-422A-A03F-971478F36145}" name="অর্পিত দায়িত্ব" dataDxfId="419"/>
    <tableColumn id="3" xr3:uid="{5E5AADD8-C9D6-4DF9-90ED-85D30277DAF7}" name="একক" dataDxfId="418"/>
    <tableColumn id="4" xr3:uid="{C17FD761-2824-4276-8798-4F66464521AC}" name="অর্জন" dataDxfId="417"/>
    <tableColumn id="5" xr3:uid="{F0FF55E2-E6B0-49AE-B656-7EC97ADC63FA}" name="অবশিষ্ট" dataDxfId="416"/>
    <tableColumn id="6" xr3:uid="{4BC854B7-84A0-42CF-BD98-F488D40E52D3}" name="অর্জনের হার (%)" dataDxfId="415"/>
    <tableColumn id="7" xr3:uid="{A716163C-7830-4067-98A4-7A5B869A1B07}" name="মন্তব্য" dataDxfId="414"/>
  </tableColumns>
  <tableStyleInfo name="TableStyleMedium2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3847BFD-BEA6-46D4-BC47-846693E79601}" name="Table215" displayName="Table215" ref="B163:H182" totalsRowShown="0" headerRowDxfId="413" dataDxfId="412">
  <autoFilter ref="B163:H182" xr:uid="{83847BFD-BEA6-46D4-BC47-846693E7960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CCF35D88-95C7-43A0-9F7C-B88623F44579}" name="ক্রমিক নং" dataDxfId="411"/>
    <tableColumn id="2" xr3:uid="{9C702CDC-CFD9-40B0-A5CE-EDEBD8E2078C}" name="অর্পিত দায়িত্ব" dataDxfId="410"/>
    <tableColumn id="3" xr3:uid="{F1E11A7A-1007-4A77-9DC6-71CF02BD1D19}" name="একক" dataDxfId="409"/>
    <tableColumn id="4" xr3:uid="{C0F03165-3595-410A-A145-4920CAB6CA4C}" name="অর্জন" dataDxfId="408"/>
    <tableColumn id="5" xr3:uid="{E1522357-3662-4631-AE82-627F4CB11204}" name="অবশিষ্ট" dataDxfId="407"/>
    <tableColumn id="6" xr3:uid="{3E261F37-4E1C-406F-9D64-2D3D9C92242A}" name="অর্জনের হার (%)" dataDxfId="406"/>
    <tableColumn id="7" xr3:uid="{588E9567-1C9A-41FA-A4E6-5DFB5B2918E7}" name="মন্তব্য" dataDxfId="405"/>
  </tableColumns>
  <tableStyleInfo name="TableStyleMedium2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1EC38B8-95E9-4875-A2AE-4E1CB30494F5}" name="Table216" displayName="Table216" ref="B186:H205" totalsRowShown="0" headerRowDxfId="404" dataDxfId="403">
  <autoFilter ref="B186:H205" xr:uid="{81EC38B8-95E9-4875-A2AE-4E1CB30494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F0DDC47-1B3C-4591-99CB-5D6649C821A4}" name="ক্রমিক নং" dataDxfId="402"/>
    <tableColumn id="2" xr3:uid="{D06599BA-2F54-4FF6-AB3A-9FC1449DE524}" name="অর্পিত দায়িত্ব" dataDxfId="401"/>
    <tableColumn id="3" xr3:uid="{DC87CB52-2CCB-483F-A849-59978DF90504}" name="একক" dataDxfId="400"/>
    <tableColumn id="4" xr3:uid="{2E481AD6-ABDC-49AD-89F0-60995A91B3FE}" name="অর্জন" dataDxfId="399"/>
    <tableColumn id="5" xr3:uid="{48166CB5-551B-4483-BD0E-32A77E96D493}" name="অবশিষ্ট" dataDxfId="398"/>
    <tableColumn id="6" xr3:uid="{6C60B02D-F1E9-4948-9FDD-851DBFFDCE33}" name="অর্জনের হার (%)" dataDxfId="397"/>
    <tableColumn id="7" xr3:uid="{39AC5B18-B986-4880-9E39-AE0FA1F8AC76}" name="মন্তব্য" dataDxfId="396"/>
  </tableColumns>
  <tableStyleInfo name="TableStyleMedium2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3EE985A-04A0-41DC-81EF-9C0F24002035}" name="Table217" displayName="Table217" ref="B209:H228" totalsRowShown="0" headerRowDxfId="395" dataDxfId="394">
  <autoFilter ref="B209:H228" xr:uid="{B3EE985A-04A0-41DC-81EF-9C0F240020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DA8C2A31-C852-451D-99F6-A1C7677B9475}" name="ক্রমিক নং" dataDxfId="393"/>
    <tableColumn id="2" xr3:uid="{F9C6A684-C2F1-4B68-8409-AE9B25AC60C8}" name="অর্পিত দায়িত্ব" dataDxfId="392"/>
    <tableColumn id="3" xr3:uid="{A4C63D47-4A31-452F-AA62-FED1B7779290}" name="একক" dataDxfId="391"/>
    <tableColumn id="4" xr3:uid="{C3F0737A-ED84-4F54-8B0D-A4BC2410D366}" name="অর্জন" dataDxfId="390"/>
    <tableColumn id="5" xr3:uid="{2AD053E7-2EA6-4248-A391-1BD6C70B4C2A}" name="অবশিষ্ট" dataDxfId="389"/>
    <tableColumn id="6" xr3:uid="{DBF1714B-5D12-4330-BEB1-5F1D4A5140F8}" name="অর্জনের হার (%)" dataDxfId="388"/>
    <tableColumn id="7" xr3:uid="{85AB44CF-A5B9-4869-A195-62719EE10AC6}" name="মন্তব্য" dataDxfId="387"/>
  </tableColumns>
  <tableStyleInfo name="TableStyleMedium2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5BD1596-6EEB-4D5B-960E-0EF853B1F685}" name="Table218" displayName="Table218" ref="B232:H251" totalsRowShown="0" headerRowDxfId="386" dataDxfId="385">
  <autoFilter ref="B232:H251" xr:uid="{F5BD1596-6EEB-4D5B-960E-0EF853B1F68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F8B2E4B1-3F55-4F7E-B395-FB5CDB5C7D53}" name="ক্রমিক নং" dataDxfId="384"/>
    <tableColumn id="2" xr3:uid="{F71D4284-8116-4DC1-9DC4-241AC384E047}" name="অর্পিত দায়িত্ব" dataDxfId="383"/>
    <tableColumn id="3" xr3:uid="{308A44D1-EEE7-4861-85A4-D57235983DC4}" name="একক" dataDxfId="382"/>
    <tableColumn id="4" xr3:uid="{6A502CE7-8A42-492F-921C-70BC27DAA5CB}" name="অর্জন" dataDxfId="381"/>
    <tableColumn id="5" xr3:uid="{33E3435A-9413-4D8F-94F9-1874038620CA}" name="অবশিষ্ট" dataDxfId="380"/>
    <tableColumn id="6" xr3:uid="{89E711E4-2B67-43F1-B56D-B6BC0D632BBF}" name="অর্জনের হার (%)" dataDxfId="379"/>
    <tableColumn id="7" xr3:uid="{7138FF41-C52A-4939-B68D-829F0478ED2C}" name="মন্তব্য" dataDxfId="378"/>
  </tableColumns>
  <tableStyleInfo name="TableStyleMedium2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A69F174-D1AD-4A03-ADE6-3A3A01AAFF44}" name="Table219" displayName="Table219" ref="B255:H274" totalsRowShown="0" headerRowDxfId="377" dataDxfId="376">
  <autoFilter ref="B255:H274" xr:uid="{5A69F174-D1AD-4A03-ADE6-3A3A01AAFF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CE73BAE0-795E-4F0A-A5A8-B75637D9C9C4}" name="ক্রমিক নং" dataDxfId="375"/>
    <tableColumn id="2" xr3:uid="{9B2BE333-090E-472D-8ED1-F4DB4C4DDEDD}" name="অর্পিত দায়িত্ব" dataDxfId="374"/>
    <tableColumn id="3" xr3:uid="{9DB1EEA7-B6FA-4120-95A0-A90E3E08D2D1}" name="একক" dataDxfId="373"/>
    <tableColumn id="4" xr3:uid="{87B9514F-C312-47D3-9AB1-6EDFD9D3D10A}" name="অর্জন" dataDxfId="372"/>
    <tableColumn id="5" xr3:uid="{2E1E1CF8-4A94-448D-9257-C6BB68FA1D29}" name="অবশিষ্ট" dataDxfId="371"/>
    <tableColumn id="6" xr3:uid="{8092BEC0-1275-4E54-AE17-8322F1E8B9E3}" name="অর্জনের হার (%)" dataDxfId="370"/>
    <tableColumn id="7" xr3:uid="{ECD04088-DD10-4E99-80E9-D2D1944D8175}" name="মন্তব্য" dataDxfId="369"/>
  </tableColumns>
  <tableStyleInfo name="TableStyleMedium2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9A0421-ED52-4C86-827A-E1E525CB135D}" name="InputTable" displayName="InputTable" ref="A27:M46" headerRowCount="0" headerRowDxfId="368" dataDxfId="367" totalsRowDxfId="366">
  <tableColumns count="13">
    <tableColumn id="2" xr3:uid="{15C5FB59-E505-4596-9D25-09DC4A20341A}" name="Column2" headerRowDxfId="365" dataDxfId="364" totalsRowDxfId="363"/>
    <tableColumn id="3" xr3:uid="{BAEE167D-805C-4F41-B5D2-96476823DBE5}" name="Column3" dataDxfId="362" totalsRowDxfId="361"/>
    <tableColumn id="5" xr3:uid="{5743B760-13DD-42CC-AE8D-3D8DF88755A6}" name="Column5" headerRowDxfId="360" dataDxfId="359"/>
    <tableColumn id="7" xr3:uid="{B4DAE74E-1D62-4E69-AC15-4714D0193B4A}" name="Column7" headerRowDxfId="358" dataDxfId="357"/>
    <tableColumn id="9" xr3:uid="{51043583-15E6-4353-B506-50B856B3D6DC}" name="Column9" headerRowDxfId="356" dataDxfId="355"/>
    <tableColumn id="11" xr3:uid="{6BBC9A12-9CD7-4D25-B095-DA32950AC389}" name="Column11" headerRowDxfId="354" dataDxfId="353"/>
    <tableColumn id="13" xr3:uid="{E7CEC86A-3854-4B29-9751-FE07D6FEB72B}" name="Column13" headerRowDxfId="352" dataDxfId="351"/>
    <tableColumn id="15" xr3:uid="{BA1E7BDF-4B58-435F-90EE-C17BCAFCFA34}" name="Column15" headerRowDxfId="350" dataDxfId="349"/>
    <tableColumn id="17" xr3:uid="{1583E12B-7FB8-4BEF-B8D2-6D074951A414}" name="Column17" headerRowDxfId="348" dataDxfId="347"/>
    <tableColumn id="19" xr3:uid="{407D4CAF-179B-4240-A99D-4BF41C5C6475}" name="Column19" headerRowDxfId="346" dataDxfId="345"/>
    <tableColumn id="21" xr3:uid="{4B99369A-E10B-4E8D-B93B-1D62E8A43461}" name="Column21" headerRowDxfId="344" dataDxfId="343"/>
    <tableColumn id="23" xr3:uid="{5E4608C7-98DC-4B24-ADA5-6FF1B1BF55F5}" name="Column23" headerRowDxfId="342" dataDxfId="341"/>
    <tableColumn id="25" xr3:uid="{1BCB0D11-74A1-4EFD-93DF-AC5DFB8594A0}" name="Column25" totalsRowFunction="count" headerRowDxfId="340" dataDxfId="339"/>
  </tableColumns>
  <tableStyleInfo name="TableStyleMedium2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59E0E08-CEE8-4C12-991A-2279FAA6D3A0}" name="InputTable20" displayName="InputTable20" ref="A51:M70" headerRowCount="0" headerRowDxfId="338" dataDxfId="337" totalsRowDxfId="336">
  <tableColumns count="13">
    <tableColumn id="2" xr3:uid="{70A60B38-1A7C-4245-AA56-4CED76F647EF}" name="Column2" headerRowDxfId="335" dataDxfId="334" totalsRowDxfId="333"/>
    <tableColumn id="3" xr3:uid="{CB4602DE-30DC-42AA-ACDA-FE78D15E89E3}" name="Column3" dataDxfId="332" totalsRowDxfId="331"/>
    <tableColumn id="5" xr3:uid="{E6116BFF-C4B2-4F3E-8482-E20372304AFD}" name="Column5" headerRowDxfId="330" dataDxfId="329"/>
    <tableColumn id="7" xr3:uid="{2A8D5024-C743-4082-A992-6E9C210AD6DD}" name="Column7" headerRowDxfId="328" dataDxfId="327"/>
    <tableColumn id="9" xr3:uid="{F9DC1D10-D7DF-4C2A-8E70-5A628C94E6AE}" name="Column9" headerRowDxfId="326" dataDxfId="325"/>
    <tableColumn id="11" xr3:uid="{82867785-6133-4626-9956-2C5C73898EE4}" name="Column11" headerRowDxfId="324" dataDxfId="323"/>
    <tableColumn id="13" xr3:uid="{820720CB-AC20-4FF0-985B-17A0D74F888B}" name="Column13" headerRowDxfId="322" dataDxfId="321"/>
    <tableColumn id="15" xr3:uid="{AEC1E3A3-E14C-4331-B4C2-8FF8C2F60916}" name="Column15" headerRowDxfId="320" dataDxfId="319"/>
    <tableColumn id="17" xr3:uid="{02AF453A-8D98-4346-A0CA-20C970B72884}" name="Column17" headerRowDxfId="318" dataDxfId="317"/>
    <tableColumn id="19" xr3:uid="{9F394E36-EAC4-4C12-B941-C4B26B87CF65}" name="Column19" headerRowDxfId="316" dataDxfId="315"/>
    <tableColumn id="21" xr3:uid="{2D3D23C6-C584-429D-BC16-7D3DC27B9262}" name="Column21" headerRowDxfId="314" dataDxfId="313"/>
    <tableColumn id="23" xr3:uid="{6682599D-21B3-4BF0-ADE7-B58361046AFB}" name="Column23" headerRowDxfId="312" dataDxfId="311"/>
    <tableColumn id="25" xr3:uid="{211411A9-D1D4-4B23-BA34-59D55AC80B02}" name="Column25" totalsRowFunction="count" headerRowDxfId="310" dataDxfId="309"/>
  </tableColumns>
  <tableStyleInfo name="TableStyleMedium2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F95CADFE-722A-42AF-A58C-D98183455D41}" name="InputTable21" displayName="InputTable21" ref="A75:M94" headerRowCount="0" headerRowDxfId="308" dataDxfId="307" totalsRowDxfId="306">
  <tableColumns count="13">
    <tableColumn id="2" xr3:uid="{67697786-3FD7-43B2-BD6E-AF78D231093E}" name="Column2" headerRowDxfId="305" dataDxfId="304" totalsRowDxfId="303"/>
    <tableColumn id="3" xr3:uid="{DE58515C-C459-4EDC-AEA3-C475C84E2533}" name="Column3" dataDxfId="302" totalsRowDxfId="301"/>
    <tableColumn id="5" xr3:uid="{E6DE28C5-E2BF-4610-8D4C-5A7A22D4BC4F}" name="Column5" headerRowDxfId="300" dataDxfId="299"/>
    <tableColumn id="7" xr3:uid="{537F6B11-BDA8-48F0-8451-25F5D54CDC76}" name="Column7" headerRowDxfId="298" dataDxfId="297"/>
    <tableColumn id="9" xr3:uid="{B70B07D2-BE30-478C-8AF0-164F63B9A313}" name="Column9" headerRowDxfId="296" dataDxfId="295"/>
    <tableColumn id="11" xr3:uid="{98EE4F97-1E1A-4F00-AB04-2FCA6E3C5AE8}" name="Column11" headerRowDxfId="294" dataDxfId="293"/>
    <tableColumn id="13" xr3:uid="{61153220-5891-4295-BB3F-9E903AE458C1}" name="Column13" headerRowDxfId="292" dataDxfId="291"/>
    <tableColumn id="15" xr3:uid="{B7F80DE3-CEE1-4EFC-B558-7AA13A653406}" name="Column15" headerRowDxfId="290" dataDxfId="289"/>
    <tableColumn id="17" xr3:uid="{0024EAED-DB91-4FA1-AAA4-19903779CE1A}" name="Column17" headerRowDxfId="288" dataDxfId="287"/>
    <tableColumn id="19" xr3:uid="{A2A25AC1-C63C-4182-94CB-EB0A1FAE1EF4}" name="Column19" headerRowDxfId="286" dataDxfId="285"/>
    <tableColumn id="21" xr3:uid="{E8496102-47DE-4F20-BD40-8F987967CE6C}" name="Column21" headerRowDxfId="284" dataDxfId="283"/>
    <tableColumn id="23" xr3:uid="{11A68BFB-CFDA-4683-98CA-BCB5817A3CC2}" name="Column23" headerRowDxfId="282" dataDxfId="281"/>
    <tableColumn id="25" xr3:uid="{443B67B4-DF2A-4098-A4D6-B455FE6163BD}" name="Column25" totalsRowFunction="count" headerRowDxfId="280" dataDxfId="279"/>
  </tableColumns>
  <tableStyleInfo name="TableStyleMedium25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28F045C-0CFB-462A-B3BB-4DF4D9B24F12}" name="InputTable22" displayName="InputTable22" ref="A99:M118" headerRowCount="0" headerRowDxfId="278" dataDxfId="277" totalsRowDxfId="276">
  <tableColumns count="13">
    <tableColumn id="2" xr3:uid="{B8ACA404-4ACE-41FE-882C-42B7BBB14FA9}" name="Column2" headerRowDxfId="275" dataDxfId="274" totalsRowDxfId="273"/>
    <tableColumn id="3" xr3:uid="{0D5CD1D7-925E-4544-BC31-D68118839D9D}" name="Column3" dataDxfId="272" totalsRowDxfId="271"/>
    <tableColumn id="5" xr3:uid="{EDE170D0-79E3-43E5-B2B7-38898613ED26}" name="Column5" headerRowDxfId="270" dataDxfId="269"/>
    <tableColumn id="7" xr3:uid="{68956EEA-E9F0-4064-B072-F9A9983A1CB5}" name="Column7" headerRowDxfId="268" dataDxfId="267"/>
    <tableColumn id="9" xr3:uid="{08EB3CD5-E8C8-4BD1-B1E2-BE38334B31C5}" name="Column9" headerRowDxfId="266" dataDxfId="265"/>
    <tableColumn id="11" xr3:uid="{AD972AEF-DCAE-4C6F-A33C-0CFBBC85C388}" name="Column11" headerRowDxfId="264" dataDxfId="263"/>
    <tableColumn id="13" xr3:uid="{54B887C0-4EA4-46B4-A86A-9E9729C45705}" name="Column13" headerRowDxfId="262" dataDxfId="261"/>
    <tableColumn id="15" xr3:uid="{B6FA57FC-057E-48B6-A2A5-E87A20AD193F}" name="Column15" headerRowDxfId="260" dataDxfId="259"/>
    <tableColumn id="17" xr3:uid="{ACA27B9D-A4DA-47E0-9E9A-40A7028E3C5D}" name="Column17" headerRowDxfId="258" dataDxfId="257"/>
    <tableColumn id="19" xr3:uid="{20CB0447-A21F-451D-A9B6-53F634997407}" name="Column19" headerRowDxfId="256" dataDxfId="255"/>
    <tableColumn id="21" xr3:uid="{6044B75C-1AC2-428E-9950-BA726E7BC2E7}" name="Column21" headerRowDxfId="254" dataDxfId="253"/>
    <tableColumn id="23" xr3:uid="{5BBD82A6-0F7C-4386-9F7E-F6DBFDE30A24}" name="Column23" headerRowDxfId="252" dataDxfId="251"/>
    <tableColumn id="25" xr3:uid="{AB2A518B-3F94-4A7C-A4DC-70F079AAE2BD}" name="Column25" totalsRowFunction="count" headerRowDxfId="250" dataDxfId="249"/>
  </tableColumns>
  <tableStyleInfo name="TableStyleMedium25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DF12370-46FC-4E35-B586-7CA18201439B}" name="InputTable23" displayName="InputTable23" ref="A123:M142" headerRowCount="0" headerRowDxfId="248" dataDxfId="247" totalsRowDxfId="246">
  <tableColumns count="13">
    <tableColumn id="2" xr3:uid="{1AA7A1C8-EBB1-4D31-B9CB-69DC13E13699}" name="Column2" headerRowDxfId="245" dataDxfId="244" totalsRowDxfId="243"/>
    <tableColumn id="3" xr3:uid="{5F7FD438-DBDB-4A09-9D9C-DF59482E2FA3}" name="Column3" dataDxfId="242" totalsRowDxfId="241"/>
    <tableColumn id="5" xr3:uid="{F5E5E067-2D1E-4005-AB0F-77678791BE38}" name="Column5" headerRowDxfId="240" dataDxfId="239"/>
    <tableColumn id="7" xr3:uid="{A83B16F2-A4FE-467C-AA55-67DD39B1BE7C}" name="Column7" headerRowDxfId="238" dataDxfId="237"/>
    <tableColumn id="9" xr3:uid="{A666E4EA-A17C-45C2-A053-1D677ABBA866}" name="Column9" headerRowDxfId="236" dataDxfId="235"/>
    <tableColumn id="11" xr3:uid="{8DB5EC8B-0B83-4660-A83E-9DCD877AB3C8}" name="Column11" headerRowDxfId="234" dataDxfId="233"/>
    <tableColumn id="13" xr3:uid="{2F3EF427-4FB4-4F8F-908E-D4A6038EEA25}" name="Column13" headerRowDxfId="232" dataDxfId="231"/>
    <tableColumn id="15" xr3:uid="{771CF899-1EFF-40BD-BA02-10953AA88CF6}" name="Column15" headerRowDxfId="230" dataDxfId="229"/>
    <tableColumn id="17" xr3:uid="{B6A952E1-37BC-41E9-B679-CB0AAEEDBFA9}" name="Column17" headerRowDxfId="228" dataDxfId="227"/>
    <tableColumn id="19" xr3:uid="{F057B47E-F4EB-4A0C-99A1-4A98CFC0A793}" name="Column19" headerRowDxfId="226" dataDxfId="225"/>
    <tableColumn id="21" xr3:uid="{718DDCC7-3D7A-4DB1-A8E6-F5CA3B78B2EA}" name="Column21" headerRowDxfId="224" dataDxfId="223"/>
    <tableColumn id="23" xr3:uid="{E3955D55-CD6A-429D-B56D-089C548FF19B}" name="Column23" headerRowDxfId="222" dataDxfId="221"/>
    <tableColumn id="25" xr3:uid="{A5009C66-7A49-4989-8905-DD8690D41FAE}" name="Column25" totalsRowFunction="count" headerRowDxfId="220" dataDxfId="219"/>
  </tableColumns>
  <tableStyleInfo name="TableStyleMedium25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BEE986D-B350-4112-8C57-B9DD151B9ED3}" name="InputTable24" displayName="InputTable24" ref="A147:M166" headerRowCount="0" headerRowDxfId="218" dataDxfId="217" totalsRowDxfId="216">
  <tableColumns count="13">
    <tableColumn id="2" xr3:uid="{F3A907D8-7DDF-4CFD-B12F-8F0A4DDCEF9F}" name="Column2" headerRowDxfId="215" dataDxfId="214" totalsRowDxfId="213"/>
    <tableColumn id="3" xr3:uid="{1AC72C63-332F-4CBA-97EB-8945D7BC7386}" name="Column3" dataDxfId="212" totalsRowDxfId="211"/>
    <tableColumn id="5" xr3:uid="{D8566697-5194-482B-A01C-5CF36E82823E}" name="Column5" headerRowDxfId="210" dataDxfId="209"/>
    <tableColumn id="7" xr3:uid="{04669E3C-F777-48B8-9825-FD1CABA67A9E}" name="Column7" headerRowDxfId="208" dataDxfId="207"/>
    <tableColumn id="9" xr3:uid="{0F83CF5E-0FF7-4067-A1A3-41896C0A29CD}" name="Column9" headerRowDxfId="206" dataDxfId="205"/>
    <tableColumn id="11" xr3:uid="{F326943E-7D77-4B2E-9B5B-3D740331D736}" name="Column11" headerRowDxfId="204" dataDxfId="203"/>
    <tableColumn id="13" xr3:uid="{9EC41FC2-562A-42B0-B193-81B59578BD6A}" name="Column13" headerRowDxfId="202" dataDxfId="201"/>
    <tableColumn id="15" xr3:uid="{53FDAE55-0DB5-469A-8F50-6A68E4189A02}" name="Column15" headerRowDxfId="200" dataDxfId="199"/>
    <tableColumn id="17" xr3:uid="{7E8C3F5A-C280-4A98-B508-617D11FBD535}" name="Column17" headerRowDxfId="198" dataDxfId="197"/>
    <tableColumn id="19" xr3:uid="{0EA28437-985D-4265-9A59-36A15D2020E4}" name="Column19" headerRowDxfId="196" dataDxfId="195"/>
    <tableColumn id="21" xr3:uid="{18EFEBBB-E224-403B-8C27-4D4397C26D27}" name="Column21" headerRowDxfId="194" dataDxfId="193"/>
    <tableColumn id="23" xr3:uid="{A75328C2-B82D-4801-8EC4-6C40F354F81F}" name="Column23" headerRowDxfId="192" dataDxfId="191"/>
    <tableColumn id="25" xr3:uid="{3281A45D-65E4-46D3-8AAF-BB5BAEC781CD}" name="Column25" totalsRowFunction="count" headerRowDxfId="190" dataDxfId="189"/>
  </tableColumns>
  <tableStyleInfo name="TableStyleMedium25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51642A82-78C2-490D-BEB2-6486771221A8}" name="InputTable25" displayName="InputTable25" ref="A171:M190" headerRowCount="0" headerRowDxfId="188" dataDxfId="187" totalsRowDxfId="186">
  <tableColumns count="13">
    <tableColumn id="2" xr3:uid="{7E3ABA96-A467-455B-B9C8-6A44C47B357F}" name="Column2" headerRowDxfId="185" dataDxfId="184" totalsRowDxfId="183"/>
    <tableColumn id="3" xr3:uid="{A6DFCCC8-2F02-4AEF-AB36-D24BACB3201B}" name="Column3" dataDxfId="182" totalsRowDxfId="181"/>
    <tableColumn id="5" xr3:uid="{73CF4DCE-CEF5-48AC-A8F6-F0AF36460927}" name="Column5" headerRowDxfId="180" dataDxfId="179"/>
    <tableColumn id="7" xr3:uid="{64E97DCD-B739-40E4-8038-0D435F991E85}" name="Column7" headerRowDxfId="178" dataDxfId="177"/>
    <tableColumn id="9" xr3:uid="{AFBB7C2C-83A3-4C7D-8836-4FF25883E216}" name="Column9" headerRowDxfId="176" dataDxfId="175"/>
    <tableColumn id="11" xr3:uid="{B2C0FA54-92C8-4FCA-9F7A-2D922FFDB446}" name="Column11" headerRowDxfId="174" dataDxfId="173"/>
    <tableColumn id="13" xr3:uid="{2BA36347-1399-4C27-9C4C-DF13A4C29D19}" name="Column13" headerRowDxfId="172" dataDxfId="171"/>
    <tableColumn id="15" xr3:uid="{9D83A50B-4DC1-46EC-B5A3-EFD6B706C5B3}" name="Column15" headerRowDxfId="170" dataDxfId="169"/>
    <tableColumn id="17" xr3:uid="{03365E4F-9515-4526-8787-E42047AEAEA1}" name="Column17" headerRowDxfId="168" dataDxfId="167"/>
    <tableColumn id="19" xr3:uid="{EF763DF9-DDB7-4239-A567-DEF48BD74215}" name="Column19" headerRowDxfId="166" dataDxfId="165"/>
    <tableColumn id="21" xr3:uid="{00C74B7C-56C2-4B9B-93BD-DEBA7ADAA34D}" name="Column21" headerRowDxfId="164" dataDxfId="163"/>
    <tableColumn id="23" xr3:uid="{1F9D86BB-9A6D-41C0-A8CC-A263ABC5FA1B}" name="Column23" headerRowDxfId="162" dataDxfId="161"/>
    <tableColumn id="25" xr3:uid="{39258269-4140-4961-BDA5-5FD43E69A6C3}" name="Column25" totalsRowFunction="count" headerRowDxfId="160" dataDxfId="159"/>
  </tableColumns>
  <tableStyleInfo name="TableStyleMedium25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EF309AC-159E-446E-9A8C-55AC76793D67}" name="InputTable26" displayName="InputTable26" ref="A195:M214" headerRowCount="0" headerRowDxfId="158" dataDxfId="157" totalsRowDxfId="156">
  <tableColumns count="13">
    <tableColumn id="2" xr3:uid="{6EF27FA8-47ED-4EEC-A6FD-7774A65F9886}" name="Column2" headerRowDxfId="155" dataDxfId="154" totalsRowDxfId="153"/>
    <tableColumn id="3" xr3:uid="{51FBE6B0-8B58-4407-A2F7-C3F2236820CD}" name="Column3" dataDxfId="152" totalsRowDxfId="151"/>
    <tableColumn id="5" xr3:uid="{6EAE169F-A0E4-422D-96D0-C516ED1C4154}" name="Column5" headerRowDxfId="150" dataDxfId="149"/>
    <tableColumn id="7" xr3:uid="{F029A4C0-6022-4290-A7B2-2D4D8DCC79F6}" name="Column7" headerRowDxfId="148" dataDxfId="147"/>
    <tableColumn id="9" xr3:uid="{9CB3BAF8-A786-42B9-BBDA-5A2D1E9B537A}" name="Column9" headerRowDxfId="146" dataDxfId="145"/>
    <tableColumn id="11" xr3:uid="{F2267CF3-6462-4054-8B32-CAF551198CD2}" name="Column11" headerRowDxfId="144" dataDxfId="143"/>
    <tableColumn id="13" xr3:uid="{FF4361C2-2A7D-452A-BE51-081DB64618A8}" name="Column13" headerRowDxfId="142" dataDxfId="141"/>
    <tableColumn id="15" xr3:uid="{634DEAB4-056A-44AB-9E3D-A28663B0F094}" name="Column15" headerRowDxfId="140" dataDxfId="139"/>
    <tableColumn id="17" xr3:uid="{FF747B45-7D4A-40AD-943E-C44DF85B68B8}" name="Column17" headerRowDxfId="138" dataDxfId="137"/>
    <tableColumn id="19" xr3:uid="{290D4137-AF67-49DD-89A3-5C9347124D38}" name="Column19" headerRowDxfId="136" dataDxfId="135"/>
    <tableColumn id="21" xr3:uid="{014F5072-3253-433B-B99F-428DD1E2595E}" name="Column21" headerRowDxfId="134" dataDxfId="133"/>
    <tableColumn id="23" xr3:uid="{211C00A0-4428-4FFA-BCF4-419BFD806A7B}" name="Column23" headerRowDxfId="132" dataDxfId="131"/>
    <tableColumn id="25" xr3:uid="{B87B100D-7A57-4A13-8841-898EA960E320}" name="Column25" totalsRowFunction="count" headerRowDxfId="130" dataDxfId="129"/>
  </tableColumns>
  <tableStyleInfo name="TableStyleMedium25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F5232B3B-AB43-4584-AD3E-9673FC2CAA02}" name="InputTable2628" displayName="InputTable2628" ref="A219:M238" headerRowCount="0" headerRowDxfId="128" dataDxfId="127" totalsRowDxfId="126">
  <tableColumns count="13">
    <tableColumn id="2" xr3:uid="{D4DD887E-4FB3-4C15-B7B7-7A77F6B5E470}" name="Column2" headerRowDxfId="125" dataDxfId="124" totalsRowDxfId="123"/>
    <tableColumn id="3" xr3:uid="{FBFE589E-45F5-4684-AA08-3F6659E0DC16}" name="Column3" dataDxfId="122" totalsRowDxfId="121"/>
    <tableColumn id="5" xr3:uid="{C55D427D-8395-447E-82E5-8CC63B68C681}" name="Column5" headerRowDxfId="120" dataDxfId="119"/>
    <tableColumn id="7" xr3:uid="{DDC6C26D-DB48-460E-AD8A-5B2064A7B933}" name="Column7" headerRowDxfId="118" dataDxfId="117"/>
    <tableColumn id="9" xr3:uid="{5A95BF89-0EF4-4506-97AF-F2BD273495EB}" name="Column9" headerRowDxfId="116" dataDxfId="115"/>
    <tableColumn id="11" xr3:uid="{487004D6-BDED-477C-A1CE-062B5C785284}" name="Column11" headerRowDxfId="114" dataDxfId="113"/>
    <tableColumn id="13" xr3:uid="{5E9DB692-3B97-4A5E-9E66-DE87A44AEDF7}" name="Column13" headerRowDxfId="112" dataDxfId="111"/>
    <tableColumn id="15" xr3:uid="{4E7417C3-FB5A-4C5D-B493-187AA49A5A89}" name="Column15" headerRowDxfId="110" dataDxfId="109"/>
    <tableColumn id="17" xr3:uid="{DD110077-FD3E-4A0D-BC8D-A605D0ED889D}" name="Column17" headerRowDxfId="108" dataDxfId="107"/>
    <tableColumn id="19" xr3:uid="{19708AB1-F656-418E-890E-67B2A5A00C2D}" name="Column19" headerRowDxfId="106" dataDxfId="105"/>
    <tableColumn id="21" xr3:uid="{00B6419C-8A58-4C02-BC72-CC9D6C6577D5}" name="Column21" headerRowDxfId="104" dataDxfId="103"/>
    <tableColumn id="23" xr3:uid="{FA03D432-B7E1-4F9A-AA92-C697DD4A9D1A}" name="Column23" headerRowDxfId="102" dataDxfId="101"/>
    <tableColumn id="25" xr3:uid="{AE62236D-B183-4BF5-800A-D956FA7021E3}" name="Column25" totalsRowFunction="count" headerRowDxfId="100" dataDxfId="99"/>
  </tableColumns>
  <tableStyleInfo name="TableStyleMedium25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112CCA2-45E0-4023-B339-875556100C5D}" name="InputTable2629" displayName="InputTable2629" ref="A243:M262" headerRowCount="0" headerRowDxfId="98" dataDxfId="97" totalsRowDxfId="96">
  <tableColumns count="13">
    <tableColumn id="2" xr3:uid="{60414820-6C77-47EB-BFC8-BE0C646D140A}" name="Column2" headerRowDxfId="95" dataDxfId="94" totalsRowDxfId="93"/>
    <tableColumn id="3" xr3:uid="{4D0D3C2D-30E1-4C8A-80EA-71DEA346C9FB}" name="Column3" dataDxfId="92" totalsRowDxfId="91"/>
    <tableColumn id="5" xr3:uid="{15909054-1969-4DF8-8CA0-E3B5CB71C803}" name="Column5" headerRowDxfId="90" dataDxfId="89"/>
    <tableColumn id="7" xr3:uid="{86F8684B-A976-4306-BD14-732C2BEB7842}" name="Column7" headerRowDxfId="88" dataDxfId="87"/>
    <tableColumn id="9" xr3:uid="{DF824858-3096-406E-9CD6-78E9704C44DD}" name="Column9" headerRowDxfId="86" dataDxfId="85"/>
    <tableColumn id="11" xr3:uid="{B80448FD-2455-4934-8B03-CEC32F7D44B0}" name="Column11" headerRowDxfId="84" dataDxfId="83"/>
    <tableColumn id="13" xr3:uid="{446C7D94-8060-4E5A-84D8-AAFDAADDDABE}" name="Column13" headerRowDxfId="82" dataDxfId="81"/>
    <tableColumn id="15" xr3:uid="{E988F430-7710-49B3-8A95-14AE04A000AA}" name="Column15" headerRowDxfId="80" dataDxfId="79"/>
    <tableColumn id="17" xr3:uid="{2B3C2256-C651-4747-AE53-6B6C32B026DF}" name="Column17" headerRowDxfId="78" dataDxfId="77"/>
    <tableColumn id="19" xr3:uid="{5FDF2570-F208-4EE8-8CE2-AA063BF14E75}" name="Column19" headerRowDxfId="76" dataDxfId="75"/>
    <tableColumn id="21" xr3:uid="{0CE795A7-DEEC-4187-9432-83C74616BE40}" name="Column21" headerRowDxfId="74" dataDxfId="73"/>
    <tableColumn id="23" xr3:uid="{ED7E78A4-3811-454E-A68B-10B70FBD759A}" name="Column23" headerRowDxfId="72" dataDxfId="71"/>
    <tableColumn id="25" xr3:uid="{E96E8CDB-2F7B-495B-9B99-AFB522738062}" name="Column25" totalsRowFunction="count" headerRowDxfId="70" dataDxfId="69"/>
  </tableColumns>
  <tableStyleInfo name="TableStyleMedium25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308C8C1-EF9C-4E22-A8F4-FF382D51C0B2}" name="InputTable2630" displayName="InputTable2630" ref="A267:M286" headerRowCount="0" headerRowDxfId="68" dataDxfId="67" totalsRowDxfId="66">
  <tableColumns count="13">
    <tableColumn id="2" xr3:uid="{5292592D-335E-4A87-8F93-948CEC3AFB70}" name="Column2" headerRowDxfId="65" dataDxfId="64" totalsRowDxfId="63"/>
    <tableColumn id="3" xr3:uid="{EEB54B86-3E47-433E-9166-36E5C19EA073}" name="Column3" dataDxfId="62" totalsRowDxfId="61"/>
    <tableColumn id="5" xr3:uid="{5FE3FED5-37F3-4B5F-AAAE-8DCD9B6834D9}" name="Column5" headerRowDxfId="60" dataDxfId="59"/>
    <tableColumn id="7" xr3:uid="{2DD53193-821F-4F53-B50C-914AB16BAD1D}" name="Column7" headerRowDxfId="58" dataDxfId="57"/>
    <tableColumn id="9" xr3:uid="{7384F7AA-BE4E-4BEB-BF03-74513AEC51FB}" name="Column9" headerRowDxfId="56" dataDxfId="55"/>
    <tableColumn id="11" xr3:uid="{676B33BD-7905-4C78-B871-C5F63F50984E}" name="Column11" headerRowDxfId="54" dataDxfId="53"/>
    <tableColumn id="13" xr3:uid="{4E1BC0F4-56E1-4FFC-9AB8-206FAF54F22A}" name="Column13" headerRowDxfId="52" dataDxfId="51"/>
    <tableColumn id="15" xr3:uid="{3614A614-DF86-49D0-9647-2AA6E6E79C7E}" name="Column15" headerRowDxfId="50" dataDxfId="49"/>
    <tableColumn id="17" xr3:uid="{C08AD6B5-4351-418D-A4BB-3D9912A3E156}" name="Column17" headerRowDxfId="48" dataDxfId="47"/>
    <tableColumn id="19" xr3:uid="{8C92A295-BF84-4334-8C31-1446E0347B2E}" name="Column19" headerRowDxfId="46" dataDxfId="45"/>
    <tableColumn id="21" xr3:uid="{57C1CA88-3702-48ED-9BBD-A53E194E3E57}" name="Column21" headerRowDxfId="44" dataDxfId="43"/>
    <tableColumn id="23" xr3:uid="{9DE71A9B-F819-432C-B7ED-6A7236CBCFF9}" name="Column23" headerRowDxfId="42" dataDxfId="41"/>
    <tableColumn id="25" xr3:uid="{D6EF1A1C-567F-4962-A64B-38263ACB12AD}" name="Column25" totalsRowFunction="count" headerRowDxfId="40" dataDxfId="39"/>
  </tableColumns>
  <tableStyleInfo name="TableStyleMedium25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26A6020-D42C-410A-87C0-26D6B75ED9B6}" name="InputTable2631" displayName="InputTable2631" ref="A3:M22" headerRowCount="0" headerRowDxfId="38" dataDxfId="37" totalsRowDxfId="36">
  <tableColumns count="13">
    <tableColumn id="2" xr3:uid="{3F8E802A-019C-41E7-8B69-B2233902D143}" name="Column2" headerRowDxfId="35" dataDxfId="34" totalsRowDxfId="33"/>
    <tableColumn id="3" xr3:uid="{B913CFC7-5F9F-4817-92EA-19F61AAF4AE7}" name="Column3" dataDxfId="32" totalsRowDxfId="31"/>
    <tableColumn id="5" xr3:uid="{A59AB08E-4A58-4A86-8B64-63790DAF6482}" name="Column5" headerRowDxfId="30" dataDxfId="29"/>
    <tableColumn id="7" xr3:uid="{12DFED4A-ED4A-4283-87AE-9E091A2333C9}" name="Column7" headerRowDxfId="28" dataDxfId="27"/>
    <tableColumn id="9" xr3:uid="{7C89A6E9-81E1-4721-921B-EEE07A961A2F}" name="Column9" headerRowDxfId="26" dataDxfId="25"/>
    <tableColumn id="11" xr3:uid="{28D2EFB3-0013-48FC-A5F8-C993E3357ACD}" name="Column11" headerRowDxfId="24" dataDxfId="23"/>
    <tableColumn id="13" xr3:uid="{4838A957-C573-452F-8014-C6DEC3083CDE}" name="Column13" headerRowDxfId="22" dataDxfId="21"/>
    <tableColumn id="15" xr3:uid="{F9BE3793-299E-4DA2-8187-8526D69870EC}" name="Column15" headerRowDxfId="20" dataDxfId="19"/>
    <tableColumn id="17" xr3:uid="{1BCB0302-F19D-490E-83A7-338F133EE27C}" name="Column17" headerRowDxfId="18" dataDxfId="17"/>
    <tableColumn id="19" xr3:uid="{D7E9676C-EA44-47C7-BF49-E6BC81D37C06}" name="Column19" headerRowDxfId="16" dataDxfId="15"/>
    <tableColumn id="21" xr3:uid="{46047788-5A13-4B19-82E6-B53BB683F6EA}" name="Column21" headerRowDxfId="14" dataDxfId="13"/>
    <tableColumn id="23" xr3:uid="{DD5C33B9-1E3F-4B6D-8912-DC13CD6D35A2}" name="Column23" headerRowDxfId="12" dataDxfId="11"/>
    <tableColumn id="25" xr3:uid="{06FD47F0-3FC3-491A-917D-F9A8EEB3151E}" name="Column25" totalsRowFunction="count" headerRowDxfId="10" dataDxfId="9"/>
  </tableColumns>
  <tableStyleInfo name="TableStyleMedium25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054D54-AD82-4529-8195-59411EBDAEF8}" name="MainTable" displayName="MainTable" ref="B2:H21" totalsRowShown="0" headerRowDxfId="8" dataDxfId="7">
  <autoFilter ref="B2:H21" xr:uid="{B7054D54-AD82-4529-8195-59411EBDAE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EA46329-351A-46AC-B9BC-C61067F63582}" name="ক্রমিক নং" dataDxfId="6"/>
    <tableColumn id="2" xr3:uid="{585444F7-4C93-4E10-B2C8-FD75DB84291F}" name="অর্পিত দায়িত্ব" dataDxfId="5"/>
    <tableColumn id="3" xr3:uid="{C2B8F029-ADCE-4397-BD05-5F12A411AA1D}" name="একক" dataDxfId="4"/>
    <tableColumn id="4" xr3:uid="{B846E298-2C72-4E2B-B7A0-0B2D4F7C7E49}" name="অর্জন" dataDxfId="3"/>
    <tableColumn id="5" xr3:uid="{ABDCCCB7-8701-4E8C-B898-EECDD4E28EC4}" name="অবশিষ্ট" dataDxfId="2"/>
    <tableColumn id="6" xr3:uid="{0D67BDBE-D2AB-4CD2-A3D9-9A17110F310A}" name="অর্জনের হার (%)" dataDxfId="1"/>
    <tableColumn id="7" xr3:uid="{FAE96EC0-460A-4347-96B4-2074A9116BDB}" name="মন্তব্য" dataDxfId="0"/>
  </tableColumns>
  <tableStyleInfo name="TableStyleMedium2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drawing" Target="../drawings/drawing2.xml"/><Relationship Id="rId16" Type="http://schemas.openxmlformats.org/officeDocument/2006/relationships/table" Target="../tables/table16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13" Type="http://schemas.openxmlformats.org/officeDocument/2006/relationships/table" Target="../tables/table28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2" Type="http://schemas.openxmlformats.org/officeDocument/2006/relationships/table" Target="../tables/table17.xml"/><Relationship Id="rId1" Type="http://schemas.openxmlformats.org/officeDocument/2006/relationships/drawing" Target="../drawings/drawing3.xml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5" Type="http://schemas.openxmlformats.org/officeDocument/2006/relationships/table" Target="../tables/table20.xml"/><Relationship Id="rId10" Type="http://schemas.openxmlformats.org/officeDocument/2006/relationships/table" Target="../tables/table25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5F0DA-24FE-4F0C-B372-36B4776D7B2D}">
  <sheetPr codeName="Sheet1">
    <tabColor theme="5" tint="-0.249977111117893"/>
  </sheetPr>
  <dimension ref="A1:O13"/>
  <sheetViews>
    <sheetView tabSelected="1" zoomScale="90" zoomScaleNormal="90" workbookViewId="0">
      <selection activeCell="I18" sqref="I18"/>
    </sheetView>
  </sheetViews>
  <sheetFormatPr defaultColWidth="8.88671875" defaultRowHeight="14.4" x14ac:dyDescent="0.3"/>
  <cols>
    <col min="1" max="1" width="8.5546875" customWidth="1"/>
    <col min="2" max="2" width="9.88671875" customWidth="1"/>
    <col min="3" max="3" width="18.33203125" customWidth="1"/>
    <col min="7" max="7" width="15" customWidth="1"/>
    <col min="8" max="8" width="17.33203125" customWidth="1"/>
    <col min="11" max="11" width="26.44140625" customWidth="1"/>
    <col min="12" max="12" width="13.33203125" customWidth="1"/>
    <col min="14" max="14" width="11.33203125" customWidth="1"/>
  </cols>
  <sheetData>
    <row r="1" spans="1:15" x14ac:dyDescent="0.3">
      <c r="D1" s="49" t="str">
        <f ca="1">Model!L5</f>
        <v>আগস্ট/২০২৪</v>
      </c>
      <c r="E1" s="49"/>
      <c r="F1" s="49"/>
      <c r="K1" s="29" t="s">
        <v>104</v>
      </c>
    </row>
    <row r="2" spans="1:15" ht="16.8" x14ac:dyDescent="0.4">
      <c r="A2" s="30" t="s">
        <v>2</v>
      </c>
      <c r="B2" s="9" t="s">
        <v>0</v>
      </c>
      <c r="C2" s="9" t="s">
        <v>37</v>
      </c>
      <c r="D2" s="9" t="s">
        <v>15</v>
      </c>
      <c r="E2" s="9" t="s">
        <v>4</v>
      </c>
      <c r="F2" s="9" t="s">
        <v>3</v>
      </c>
      <c r="G2" s="9" t="s">
        <v>5</v>
      </c>
      <c r="H2" s="9" t="s">
        <v>16</v>
      </c>
      <c r="K2" s="50" t="s">
        <v>55</v>
      </c>
      <c r="L2" s="50"/>
      <c r="M2" s="50"/>
      <c r="N2" s="50"/>
      <c r="O2" s="50"/>
    </row>
    <row r="3" spans="1:15" ht="15" customHeight="1" x14ac:dyDescent="0.35">
      <c r="A3" s="48" t="s">
        <v>38</v>
      </c>
      <c r="B3" s="31">
        <v>1</v>
      </c>
      <c r="C3" s="8" t="s">
        <v>25</v>
      </c>
      <c r="D3" s="32" t="str">
        <f>আসমানখালী!D21</f>
        <v/>
      </c>
      <c r="E3" s="32">
        <f ca="1">আসমানখালী!E21</f>
        <v>521.42857142857144</v>
      </c>
      <c r="F3" s="32" t="str">
        <f ca="1">আসমানখালী!F21</f>
        <v/>
      </c>
      <c r="G3" s="33" t="str">
        <f ca="1">আসমানখালী!G21</f>
        <v/>
      </c>
      <c r="H3" s="34"/>
      <c r="K3" s="22" t="s">
        <v>53</v>
      </c>
      <c r="L3" s="22" t="s">
        <v>4</v>
      </c>
      <c r="M3" s="22" t="s">
        <v>41</v>
      </c>
      <c r="N3" s="22" t="s">
        <v>48</v>
      </c>
      <c r="O3" s="22" t="s">
        <v>76</v>
      </c>
    </row>
    <row r="4" spans="1:15" ht="15" x14ac:dyDescent="0.35">
      <c r="A4" s="48"/>
      <c r="B4" s="31">
        <v>2</v>
      </c>
      <c r="C4" s="8" t="s">
        <v>26</v>
      </c>
      <c r="D4" s="32"/>
      <c r="E4" s="32"/>
      <c r="F4" s="32"/>
      <c r="G4" s="35">
        <v>50</v>
      </c>
      <c r="H4" s="34"/>
      <c r="K4" t="s">
        <v>58</v>
      </c>
    </row>
    <row r="5" spans="1:15" ht="15" x14ac:dyDescent="0.35">
      <c r="A5" s="48"/>
      <c r="B5" s="31">
        <v>3</v>
      </c>
      <c r="C5" s="8" t="s">
        <v>27</v>
      </c>
      <c r="D5" s="32"/>
      <c r="E5" s="32"/>
      <c r="F5" s="32"/>
      <c r="G5" s="35">
        <v>40</v>
      </c>
      <c r="H5" s="34"/>
      <c r="K5" t="s">
        <v>57</v>
      </c>
    </row>
    <row r="6" spans="1:15" ht="15" x14ac:dyDescent="0.35">
      <c r="A6" s="48"/>
      <c r="B6" s="31">
        <v>4</v>
      </c>
      <c r="C6" s="8" t="s">
        <v>28</v>
      </c>
      <c r="D6" s="32"/>
      <c r="E6" s="32"/>
      <c r="F6" s="32"/>
      <c r="G6" s="35">
        <v>65</v>
      </c>
      <c r="H6" s="34"/>
      <c r="K6" t="s">
        <v>56</v>
      </c>
    </row>
    <row r="7" spans="1:15" ht="15" x14ac:dyDescent="0.35">
      <c r="A7" s="48"/>
      <c r="B7" s="31">
        <v>5</v>
      </c>
      <c r="C7" s="8" t="s">
        <v>29</v>
      </c>
      <c r="D7" s="32"/>
      <c r="E7" s="32"/>
      <c r="F7" s="32"/>
      <c r="G7" s="35">
        <v>89</v>
      </c>
      <c r="H7" s="34"/>
      <c r="K7" t="s">
        <v>59</v>
      </c>
    </row>
    <row r="8" spans="1:15" ht="15" x14ac:dyDescent="0.35">
      <c r="A8" s="48"/>
      <c r="B8" s="31">
        <v>6</v>
      </c>
      <c r="C8" s="8" t="s">
        <v>30</v>
      </c>
      <c r="D8" s="32"/>
      <c r="E8" s="32"/>
      <c r="F8" s="32"/>
      <c r="G8" s="35">
        <v>45</v>
      </c>
      <c r="H8" s="34"/>
      <c r="K8" t="s">
        <v>60</v>
      </c>
    </row>
    <row r="9" spans="1:15" ht="15" x14ac:dyDescent="0.35">
      <c r="A9" s="48"/>
      <c r="B9" s="31">
        <v>7</v>
      </c>
      <c r="C9" s="8" t="s">
        <v>31</v>
      </c>
      <c r="D9" s="32"/>
      <c r="E9" s="32"/>
      <c r="F9" s="32"/>
      <c r="G9" s="35">
        <v>69</v>
      </c>
      <c r="H9" s="34"/>
      <c r="K9" t="s">
        <v>61</v>
      </c>
    </row>
    <row r="10" spans="1:15" ht="15" x14ac:dyDescent="0.35">
      <c r="A10" s="48"/>
      <c r="B10" s="31">
        <v>8</v>
      </c>
      <c r="C10" s="8" t="s">
        <v>32</v>
      </c>
      <c r="D10" s="32"/>
      <c r="E10" s="32"/>
      <c r="F10" s="32"/>
      <c r="G10" s="35">
        <v>79</v>
      </c>
      <c r="H10" s="34"/>
    </row>
    <row r="11" spans="1:15" ht="15" x14ac:dyDescent="0.35">
      <c r="A11" s="48"/>
      <c r="B11" s="31">
        <v>9</v>
      </c>
      <c r="C11" s="8" t="s">
        <v>35</v>
      </c>
      <c r="D11" s="32"/>
      <c r="E11" s="32"/>
      <c r="F11" s="32"/>
      <c r="G11" s="35">
        <v>98</v>
      </c>
      <c r="H11" s="34"/>
    </row>
    <row r="12" spans="1:15" ht="15" x14ac:dyDescent="0.35">
      <c r="A12" s="48"/>
      <c r="B12" s="31">
        <v>10</v>
      </c>
      <c r="C12" s="8" t="s">
        <v>33</v>
      </c>
      <c r="D12" s="32"/>
      <c r="E12" s="32"/>
      <c r="F12" s="32"/>
      <c r="G12" s="35">
        <v>100</v>
      </c>
      <c r="H12" s="34"/>
    </row>
    <row r="13" spans="1:15" ht="15" x14ac:dyDescent="0.35">
      <c r="A13" s="48"/>
      <c r="B13" s="31">
        <v>11</v>
      </c>
      <c r="C13" s="8" t="s">
        <v>34</v>
      </c>
      <c r="D13" s="32"/>
      <c r="E13" s="32"/>
      <c r="F13" s="32"/>
      <c r="G13" s="35">
        <v>50</v>
      </c>
      <c r="H13" s="34"/>
    </row>
  </sheetData>
  <sheetProtection algorithmName="SHA-512" hashValue="sd86NoWBPWhgde2wXyA8uxUpzcc6hRN9pf4WqqHfpgm50FyHIAyBmVURncPcu07wyb7R+tZA3zgpNN6IzznPrA==" saltValue="1PMKCCeCC5LkryM1AhEvbw==" spinCount="100000" sheet="1" objects="1" scenarios="1" selectLockedCells="1"/>
  <mergeCells count="3">
    <mergeCell ref="A3:A13"/>
    <mergeCell ref="D1:F1"/>
    <mergeCell ref="K2:O2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9F040-6190-4EEE-B4FE-DE5D30C133DC}">
  <sheetPr codeName="Sheet2">
    <tabColor theme="4" tint="0.39997558519241921"/>
  </sheetPr>
  <dimension ref="A1:N274"/>
  <sheetViews>
    <sheetView zoomScale="90" zoomScaleNormal="90" workbookViewId="0">
      <pane ySplit="1" topLeftCell="A2" activePane="bottomLeft" state="frozen"/>
      <selection activeCell="J17" sqref="J17"/>
      <selection pane="bottomLeft" activeCell="O15" sqref="O15"/>
    </sheetView>
  </sheetViews>
  <sheetFormatPr defaultColWidth="8.88671875" defaultRowHeight="15" x14ac:dyDescent="0.35"/>
  <cols>
    <col min="1" max="1" width="4.88671875" style="1" customWidth="1"/>
    <col min="2" max="2" width="8.6640625" style="1" bestFit="1" customWidth="1"/>
    <col min="3" max="3" width="52.44140625" style="4" bestFit="1" customWidth="1"/>
    <col min="4" max="4" width="9.6640625" style="4" bestFit="1" customWidth="1"/>
    <col min="5" max="5" width="7.88671875" style="1" bestFit="1" customWidth="1"/>
    <col min="6" max="6" width="8.44140625" style="1" bestFit="1" customWidth="1"/>
    <col min="7" max="7" width="14.33203125" style="1" bestFit="1" customWidth="1"/>
    <col min="8" max="8" width="15.44140625" style="1" customWidth="1"/>
    <col min="9" max="9" width="9.44140625" style="1" customWidth="1"/>
    <col min="10" max="10" width="13.6640625" style="1" bestFit="1" customWidth="1"/>
    <col min="11" max="11" width="10.33203125" style="1" customWidth="1"/>
    <col min="12" max="12" width="15.5546875" style="1" customWidth="1"/>
    <col min="13" max="13" width="8.88671875" style="1"/>
    <col min="14" max="14" width="13.6640625" style="1" bestFit="1" customWidth="1"/>
    <col min="15" max="15" width="7.6640625" style="1" customWidth="1"/>
    <col min="16" max="16" width="8.33203125" style="1" bestFit="1" customWidth="1"/>
    <col min="17" max="17" width="13.6640625" style="1" bestFit="1" customWidth="1"/>
    <col min="18" max="16384" width="8.88671875" style="1"/>
  </cols>
  <sheetData>
    <row r="1" spans="1:14" ht="32.4" customHeight="1" x14ac:dyDescent="0.4">
      <c r="A1" s="56" t="s">
        <v>24</v>
      </c>
      <c r="B1" s="56"/>
      <c r="C1" s="56"/>
      <c r="D1" s="56"/>
      <c r="E1" s="56"/>
      <c r="F1" s="56"/>
      <c r="G1" s="56"/>
      <c r="H1" s="56"/>
      <c r="I1" s="36"/>
      <c r="N1" s="37" t="s">
        <v>100</v>
      </c>
    </row>
    <row r="2" spans="1:14" s="2" customFormat="1" x14ac:dyDescent="0.35">
      <c r="A2" s="51" t="s">
        <v>2</v>
      </c>
      <c r="B2" s="38" t="s">
        <v>0</v>
      </c>
      <c r="C2" s="2" t="s">
        <v>1</v>
      </c>
      <c r="D2" s="38" t="s">
        <v>15</v>
      </c>
      <c r="E2" s="38" t="s">
        <v>4</v>
      </c>
      <c r="F2" s="38" t="s">
        <v>3</v>
      </c>
      <c r="G2" s="38" t="s">
        <v>5</v>
      </c>
      <c r="H2" s="2" t="s">
        <v>16</v>
      </c>
    </row>
    <row r="3" spans="1:14" ht="16.95" customHeight="1" x14ac:dyDescent="0.4">
      <c r="A3" s="57"/>
      <c r="B3" s="12">
        <v>1</v>
      </c>
      <c r="C3" s="11" t="s">
        <v>6</v>
      </c>
      <c r="D3" s="39"/>
      <c r="E3" s="24">
        <f ca="1">K9</f>
        <v>250</v>
      </c>
      <c r="F3" s="13" t="str">
        <f ca="1">IF(OR(ISBLANK(D3),ISBLANK(E3)),"",D3-E3)</f>
        <v/>
      </c>
      <c r="G3" s="13" t="str">
        <f ca="1">IF(OR(ISBLANK(D3),ISBLANK(E3)),"",(E3/D3)*100)</f>
        <v/>
      </c>
      <c r="H3" s="40"/>
    </row>
    <row r="4" spans="1:14" ht="16.8" x14ac:dyDescent="0.4">
      <c r="A4" s="52" t="s">
        <v>83</v>
      </c>
      <c r="B4" s="12">
        <v>2</v>
      </c>
      <c r="C4" s="11" t="s">
        <v>7</v>
      </c>
      <c r="D4" s="39"/>
      <c r="E4" s="24">
        <f ca="1">L9</f>
        <v>200</v>
      </c>
      <c r="F4" s="13" t="str">
        <f ca="1">IF(OR(ISBLANK(D4),ISBLANK(E4)),"",D4-E4)</f>
        <v/>
      </c>
      <c r="G4" s="13" t="str">
        <f ca="1">IF(OR(ISBLANK(D4),ISBLANK(E4)),"",(E4/D4)*100)</f>
        <v/>
      </c>
      <c r="H4" s="40"/>
      <c r="J4" s="55" t="s">
        <v>42</v>
      </c>
      <c r="K4" s="55"/>
      <c r="L4" s="55"/>
    </row>
    <row r="5" spans="1:14" ht="16.8" x14ac:dyDescent="0.4">
      <c r="A5" s="52"/>
      <c r="B5" s="12">
        <v>3</v>
      </c>
      <c r="C5" s="11" t="s">
        <v>8</v>
      </c>
      <c r="D5" s="12"/>
      <c r="E5" s="12"/>
      <c r="F5" s="12" t="str">
        <f t="shared" ref="F5:F20" si="0">IF(OR(ISBLANK(D5),ISBLANK(E5)),"",D5-E5)</f>
        <v/>
      </c>
      <c r="G5" s="13" t="str">
        <f t="shared" ref="G5:G20" si="1">IF(OR(ISBLANK(D5),ISBLANK(E5)),"",(E5/D5)*100)</f>
        <v/>
      </c>
      <c r="H5" s="40"/>
      <c r="J5" s="1" t="s">
        <v>53</v>
      </c>
      <c r="K5" s="1" t="s">
        <v>43</v>
      </c>
      <c r="L5" s="1" t="s">
        <v>44</v>
      </c>
    </row>
    <row r="6" spans="1:14" ht="16.8" x14ac:dyDescent="0.4">
      <c r="A6" s="52"/>
      <c r="B6" s="12">
        <v>4</v>
      </c>
      <c r="C6" s="11" t="s">
        <v>17</v>
      </c>
      <c r="D6" s="12"/>
      <c r="E6" s="12"/>
      <c r="F6" s="12" t="str">
        <f t="shared" si="0"/>
        <v/>
      </c>
      <c r="G6" s="13" t="str">
        <f t="shared" si="1"/>
        <v/>
      </c>
      <c r="H6" s="40"/>
      <c r="J6" s="4" t="s">
        <v>45</v>
      </c>
      <c r="K6" s="23">
        <v>24000</v>
      </c>
      <c r="L6" s="3">
        <v>12000</v>
      </c>
    </row>
    <row r="7" spans="1:14" ht="16.8" x14ac:dyDescent="0.4">
      <c r="A7" s="52"/>
      <c r="B7" s="12">
        <v>5</v>
      </c>
      <c r="C7" s="11" t="s">
        <v>9</v>
      </c>
      <c r="D7" s="12"/>
      <c r="E7" s="12"/>
      <c r="F7" s="12" t="str">
        <f t="shared" si="0"/>
        <v/>
      </c>
      <c r="G7" s="13" t="str">
        <f t="shared" si="1"/>
        <v/>
      </c>
      <c r="H7" s="40"/>
      <c r="J7" s="4" t="s">
        <v>46</v>
      </c>
      <c r="K7" s="41">
        <f>IF(ISBLANK(K6),"",K6/12)</f>
        <v>2000</v>
      </c>
      <c r="L7" s="41">
        <f>IF(ISBLANK(L6),"",L6/12)</f>
        <v>1000</v>
      </c>
    </row>
    <row r="8" spans="1:14" ht="16.8" x14ac:dyDescent="0.4">
      <c r="A8" s="52"/>
      <c r="B8" s="12">
        <v>6</v>
      </c>
      <c r="C8" s="11" t="s">
        <v>18</v>
      </c>
      <c r="D8" s="12"/>
      <c r="E8" s="12"/>
      <c r="F8" s="12" t="str">
        <f t="shared" si="0"/>
        <v/>
      </c>
      <c r="G8" s="13" t="str">
        <f t="shared" si="1"/>
        <v/>
      </c>
      <c r="H8" s="40"/>
      <c r="J8" s="4" t="s">
        <v>47</v>
      </c>
      <c r="K8" s="3">
        <f ca="1">CHOOSE(MONTH(TODAY()),Input!C148,Input!C172,Input!C196,Input!C220,Input!C244,Input!C268,Input!C4,Input!C28,Input!C52,Input!C76,Input!C100,Input!C124)</f>
        <v>5000</v>
      </c>
      <c r="L8" s="3">
        <f ca="1">CHOOSE(MONTH(TODAY()),Input!C149,Input!C173,Input!C197,Input!C221,Input!C245,Input!C269,Input!C5,Input!C29,Input!C53,Input!C77,Input!C101,Input!C125)</f>
        <v>2000</v>
      </c>
    </row>
    <row r="9" spans="1:14" ht="16.8" x14ac:dyDescent="0.4">
      <c r="A9" s="52"/>
      <c r="B9" s="12">
        <v>7</v>
      </c>
      <c r="C9" s="11" t="s">
        <v>10</v>
      </c>
      <c r="D9" s="12"/>
      <c r="E9" s="12"/>
      <c r="F9" s="12" t="str">
        <f t="shared" si="0"/>
        <v/>
      </c>
      <c r="G9" s="13" t="str">
        <f t="shared" si="1"/>
        <v/>
      </c>
      <c r="H9" s="40"/>
      <c r="J9" s="4" t="s">
        <v>48</v>
      </c>
      <c r="K9" s="42">
        <f ca="1">IF(OR(ISBLANK(K7),ISBLANK(K8)),"",(K8/K7)*100)</f>
        <v>250</v>
      </c>
      <c r="L9" s="42">
        <f ca="1">IF(OR(ISBLANK(L7),ISBLANK(L8)),"",(L8/L7)*100)</f>
        <v>200</v>
      </c>
    </row>
    <row r="10" spans="1:14" ht="16.8" x14ac:dyDescent="0.4">
      <c r="A10" s="52"/>
      <c r="B10" s="12">
        <v>8</v>
      </c>
      <c r="C10" s="11" t="s">
        <v>11</v>
      </c>
      <c r="D10" s="12"/>
      <c r="E10" s="12"/>
      <c r="F10" s="12" t="str">
        <f t="shared" si="0"/>
        <v/>
      </c>
      <c r="G10" s="13" t="str">
        <f t="shared" si="1"/>
        <v/>
      </c>
      <c r="H10" s="40"/>
      <c r="J10" s="4" t="s">
        <v>77</v>
      </c>
      <c r="K10" s="41">
        <f>SUM(Input!C28,Input!C52,Input!C76,Input!C100,Input!C124,Input!C148,Input!C172,Input!C196,Input!C220,Input!C244,Input!C268,Input!C4)</f>
        <v>5000</v>
      </c>
      <c r="L10" s="41">
        <f>SUM(Input!C29,Input!C53,Input!C77,Input!C101,Input!C125,Input!C149,Input!C173,Input!C197,Input!C221,Input!C245,Input!C269,Input!C5)</f>
        <v>2000</v>
      </c>
    </row>
    <row r="11" spans="1:14" ht="16.8" x14ac:dyDescent="0.4">
      <c r="A11" s="52"/>
      <c r="B11" s="12">
        <v>9</v>
      </c>
      <c r="C11" s="11" t="s">
        <v>19</v>
      </c>
      <c r="D11" s="12"/>
      <c r="E11" s="12"/>
      <c r="F11" s="12" t="str">
        <f t="shared" si="0"/>
        <v/>
      </c>
      <c r="G11" s="13" t="str">
        <f t="shared" si="1"/>
        <v/>
      </c>
      <c r="H11" s="40"/>
    </row>
    <row r="12" spans="1:14" ht="16.8" x14ac:dyDescent="0.4">
      <c r="A12" s="52"/>
      <c r="B12" s="12">
        <v>10</v>
      </c>
      <c r="C12" s="11" t="s">
        <v>12</v>
      </c>
      <c r="D12" s="40"/>
      <c r="E12" s="12"/>
      <c r="F12" s="12" t="str">
        <f t="shared" si="0"/>
        <v/>
      </c>
      <c r="G12" s="13" t="str">
        <f t="shared" si="1"/>
        <v/>
      </c>
      <c r="H12" s="40"/>
    </row>
    <row r="13" spans="1:14" ht="16.8" x14ac:dyDescent="0.4">
      <c r="A13" s="52"/>
      <c r="B13" s="12">
        <v>11</v>
      </c>
      <c r="C13" s="11" t="s">
        <v>13</v>
      </c>
      <c r="D13" s="40"/>
      <c r="E13" s="12"/>
      <c r="F13" s="12" t="str">
        <f t="shared" si="0"/>
        <v/>
      </c>
      <c r="G13" s="13" t="str">
        <f t="shared" si="1"/>
        <v/>
      </c>
      <c r="H13" s="40"/>
      <c r="J13" s="54" t="s">
        <v>49</v>
      </c>
      <c r="K13" s="54"/>
      <c r="L13" s="54"/>
    </row>
    <row r="14" spans="1:14" ht="16.8" x14ac:dyDescent="0.4">
      <c r="A14" s="52"/>
      <c r="B14" s="12">
        <v>12</v>
      </c>
      <c r="C14" s="11" t="s">
        <v>20</v>
      </c>
      <c r="D14" s="40"/>
      <c r="E14" s="12"/>
      <c r="F14" s="12" t="str">
        <f t="shared" si="0"/>
        <v/>
      </c>
      <c r="G14" s="13" t="str">
        <f t="shared" si="1"/>
        <v/>
      </c>
      <c r="H14" s="40"/>
      <c r="J14" s="43" t="s">
        <v>51</v>
      </c>
      <c r="K14" s="43" t="s">
        <v>50</v>
      </c>
      <c r="L14" s="44" t="s">
        <v>52</v>
      </c>
    </row>
    <row r="15" spans="1:14" ht="16.8" x14ac:dyDescent="0.4">
      <c r="A15" s="52"/>
      <c r="B15" s="12">
        <v>13</v>
      </c>
      <c r="C15" s="11" t="s">
        <v>21</v>
      </c>
      <c r="D15" s="40"/>
      <c r="E15" s="12"/>
      <c r="F15" s="12" t="str">
        <f t="shared" si="0"/>
        <v/>
      </c>
      <c r="G15" s="13" t="str">
        <f t="shared" si="1"/>
        <v/>
      </c>
      <c r="H15" s="40"/>
      <c r="J15" s="3">
        <f ca="1">CHOOSE(MONTH(TODAY()),Input!C161,Input!C185,Input!C209,Input!C233,Input!C257,Input!C281,Input!C17,Input!C41,Input!C65,Input!C89,Input!C113,Input!C137)</f>
        <v>2100</v>
      </c>
      <c r="K15" s="3">
        <f ca="1">CHOOSE(MONTH(TODAY()),Input!C162,Input!C186,Input!C210,Input!C234,Input!C258,Input!C282,Input!C18,Input!C42,Input!C66,Input!C90,Input!C114,Input!C138)</f>
        <v>1500</v>
      </c>
      <c r="L15" s="42">
        <f ca="1">IF(OR(ISBLANK(J15),ISBLANK(K15)),"",(K15/J15)*100)</f>
        <v>71.428571428571431</v>
      </c>
    </row>
    <row r="16" spans="1:14" ht="16.8" x14ac:dyDescent="0.4">
      <c r="A16" s="52"/>
      <c r="B16" s="12">
        <v>14</v>
      </c>
      <c r="C16" s="11" t="s">
        <v>14</v>
      </c>
      <c r="D16" s="39"/>
      <c r="E16" s="24" cm="1">
        <f t="array" aca="1" ref="E16" ca="1">HoldingApprovalTable[অনুমোদনের হার]</f>
        <v>71.428571428571431</v>
      </c>
      <c r="F16" s="13" t="str">
        <f ca="1">IF(OR(ISBLANK(D16),ISBLANK(E16)),"",D16-E16)</f>
        <v/>
      </c>
      <c r="G16" s="13" t="str">
        <f ca="1">IF(OR(ISBLANK(D16),ISBLANK(E16)),"",(E16/D16)*100)</f>
        <v/>
      </c>
      <c r="H16" s="40"/>
    </row>
    <row r="17" spans="1:8" ht="16.8" x14ac:dyDescent="0.4">
      <c r="A17" s="52"/>
      <c r="B17" s="12">
        <v>15</v>
      </c>
      <c r="C17" s="11" t="s">
        <v>22</v>
      </c>
      <c r="D17" s="40"/>
      <c r="E17" s="12"/>
      <c r="F17" s="12" t="str">
        <f t="shared" si="0"/>
        <v/>
      </c>
      <c r="G17" s="13" t="str">
        <f t="shared" si="1"/>
        <v/>
      </c>
      <c r="H17" s="40"/>
    </row>
    <row r="18" spans="1:8" ht="16.8" x14ac:dyDescent="0.4">
      <c r="A18" s="52"/>
      <c r="B18" s="12">
        <v>16</v>
      </c>
      <c r="C18" s="11" t="s">
        <v>23</v>
      </c>
      <c r="D18" s="40"/>
      <c r="E18" s="12"/>
      <c r="F18" s="12" t="str">
        <f t="shared" si="0"/>
        <v/>
      </c>
      <c r="G18" s="13" t="str">
        <f t="shared" si="1"/>
        <v/>
      </c>
      <c r="H18" s="40"/>
    </row>
    <row r="19" spans="1:8" ht="16.8" x14ac:dyDescent="0.4">
      <c r="A19" s="52"/>
      <c r="B19" s="12">
        <v>17</v>
      </c>
      <c r="C19" s="11" t="s">
        <v>39</v>
      </c>
      <c r="D19" s="40"/>
      <c r="E19" s="12"/>
      <c r="F19" s="12" t="str">
        <f t="shared" si="0"/>
        <v/>
      </c>
      <c r="G19" s="13" t="str">
        <f t="shared" si="1"/>
        <v/>
      </c>
      <c r="H19" s="40"/>
    </row>
    <row r="20" spans="1:8" ht="16.8" x14ac:dyDescent="0.4">
      <c r="A20" s="53"/>
      <c r="B20" s="18">
        <v>18</v>
      </c>
      <c r="C20" s="16" t="s">
        <v>40</v>
      </c>
      <c r="D20" s="45"/>
      <c r="E20" s="18"/>
      <c r="F20" s="18" t="str">
        <f t="shared" si="0"/>
        <v/>
      </c>
      <c r="G20" s="19" t="str">
        <f t="shared" si="1"/>
        <v/>
      </c>
      <c r="H20" s="45"/>
    </row>
    <row r="21" spans="1:8" ht="16.8" x14ac:dyDescent="0.4">
      <c r="A21" s="46"/>
      <c r="B21" s="40"/>
      <c r="C21" s="9" t="s">
        <v>36</v>
      </c>
      <c r="D21" s="20" t="str">
        <f>IF(COUNTIF(D3:D20,"")=18,"",SUM(D3:D20))</f>
        <v/>
      </c>
      <c r="E21" s="20">
        <f ca="1">IF(COUNTIF(E3:E20,"")=18,"",SUM(E3:E20))</f>
        <v>521.42857142857144</v>
      </c>
      <c r="F21" s="20" t="str">
        <f ca="1">IF(COUNTIF(F3:F20,"")=18,"",SUM(F3:F20))</f>
        <v/>
      </c>
      <c r="G21" s="21" t="str">
        <f ca="1">IF(COUNTIF(G3:G20,"")=18,"",SUM(G3:G20)/(COUNTA(G3:G20)-COUNTBLANK(G3:G20)))</f>
        <v/>
      </c>
      <c r="H21" s="40"/>
    </row>
    <row r="22" spans="1:8" x14ac:dyDescent="0.35">
      <c r="E22" s="23"/>
    </row>
    <row r="23" spans="1:8" x14ac:dyDescent="0.35">
      <c r="E23"/>
    </row>
    <row r="24" spans="1:8" x14ac:dyDescent="0.35">
      <c r="E24"/>
    </row>
    <row r="25" spans="1:8" x14ac:dyDescent="0.35">
      <c r="A25" s="51" t="s">
        <v>2</v>
      </c>
      <c r="B25" s="38" t="s">
        <v>0</v>
      </c>
      <c r="C25" s="2" t="s">
        <v>1</v>
      </c>
      <c r="D25" s="38" t="s">
        <v>15</v>
      </c>
      <c r="E25" s="38" t="s">
        <v>4</v>
      </c>
      <c r="F25" s="38" t="s">
        <v>3</v>
      </c>
      <c r="G25" s="38" t="s">
        <v>5</v>
      </c>
      <c r="H25" s="2" t="s">
        <v>16</v>
      </c>
    </row>
    <row r="26" spans="1:8" ht="15" customHeight="1" x14ac:dyDescent="0.4">
      <c r="A26" s="51"/>
      <c r="B26" s="12">
        <v>1</v>
      </c>
      <c r="C26" s="11" t="s">
        <v>6</v>
      </c>
      <c r="D26" s="39"/>
      <c r="E26" s="24">
        <f>M54</f>
        <v>0</v>
      </c>
      <c r="F26" s="13" t="str">
        <f>IF(OR(ISBLANK(D26),ISBLANK(E26)),"",D26-E26)</f>
        <v/>
      </c>
      <c r="G26" s="13" t="str">
        <f>IF(OR(ISBLANK(D26),ISBLANK(E26)),"",(E26/D26)*100)</f>
        <v/>
      </c>
      <c r="H26" s="40"/>
    </row>
    <row r="27" spans="1:8" ht="16.8" x14ac:dyDescent="0.4">
      <c r="A27" s="52" t="s">
        <v>38</v>
      </c>
      <c r="B27" s="12">
        <v>2</v>
      </c>
      <c r="C27" s="11" t="s">
        <v>7</v>
      </c>
      <c r="D27" s="39"/>
      <c r="E27" s="24">
        <f>N54</f>
        <v>0</v>
      </c>
      <c r="F27" s="13" t="str">
        <f t="shared" ref="F27:F43" si="2">IF(OR(ISBLANK(D27),ISBLANK(E27)),"",D27-E27)</f>
        <v/>
      </c>
      <c r="G27" s="13" t="str">
        <f t="shared" ref="G27:G43" si="3">IF(OR(ISBLANK(D27),ISBLANK(E27)),"",(E27/D27)*100)</f>
        <v/>
      </c>
      <c r="H27" s="40"/>
    </row>
    <row r="28" spans="1:8" ht="16.8" x14ac:dyDescent="0.4">
      <c r="A28" s="52"/>
      <c r="B28" s="12">
        <v>3</v>
      </c>
      <c r="C28" s="11" t="s">
        <v>8</v>
      </c>
      <c r="D28" s="12"/>
      <c r="E28" s="12"/>
      <c r="F28" s="12" t="str">
        <f t="shared" si="2"/>
        <v/>
      </c>
      <c r="G28" s="13" t="str">
        <f t="shared" si="3"/>
        <v/>
      </c>
      <c r="H28" s="40"/>
    </row>
    <row r="29" spans="1:8" ht="16.8" x14ac:dyDescent="0.4">
      <c r="A29" s="52"/>
      <c r="B29" s="12">
        <v>4</v>
      </c>
      <c r="C29" s="11" t="s">
        <v>17</v>
      </c>
      <c r="D29" s="12"/>
      <c r="E29" s="12"/>
      <c r="F29" s="12" t="str">
        <f t="shared" si="2"/>
        <v/>
      </c>
      <c r="G29" s="13" t="str">
        <f t="shared" si="3"/>
        <v/>
      </c>
      <c r="H29" s="40"/>
    </row>
    <row r="30" spans="1:8" ht="16.8" x14ac:dyDescent="0.4">
      <c r="A30" s="52"/>
      <c r="B30" s="12">
        <v>5</v>
      </c>
      <c r="C30" s="11" t="s">
        <v>9</v>
      </c>
      <c r="D30" s="12"/>
      <c r="E30" s="12"/>
      <c r="F30" s="12" t="str">
        <f t="shared" si="2"/>
        <v/>
      </c>
      <c r="G30" s="13" t="str">
        <f t="shared" si="3"/>
        <v/>
      </c>
      <c r="H30" s="40"/>
    </row>
    <row r="31" spans="1:8" ht="16.8" x14ac:dyDescent="0.4">
      <c r="A31" s="52"/>
      <c r="B31" s="12">
        <v>6</v>
      </c>
      <c r="C31" s="11" t="s">
        <v>18</v>
      </c>
      <c r="D31" s="12"/>
      <c r="E31" s="12"/>
      <c r="F31" s="12" t="str">
        <f t="shared" si="2"/>
        <v/>
      </c>
      <c r="G31" s="13" t="str">
        <f t="shared" si="3"/>
        <v/>
      </c>
      <c r="H31" s="40"/>
    </row>
    <row r="32" spans="1:8" ht="16.8" x14ac:dyDescent="0.4">
      <c r="A32" s="52"/>
      <c r="B32" s="12">
        <v>7</v>
      </c>
      <c r="C32" s="11" t="s">
        <v>10</v>
      </c>
      <c r="D32" s="12"/>
      <c r="E32" s="12"/>
      <c r="F32" s="12" t="str">
        <f t="shared" si="2"/>
        <v/>
      </c>
      <c r="G32" s="13" t="str">
        <f t="shared" si="3"/>
        <v/>
      </c>
      <c r="H32" s="40"/>
    </row>
    <row r="33" spans="1:8" ht="16.8" x14ac:dyDescent="0.4">
      <c r="A33" s="52"/>
      <c r="B33" s="12">
        <v>8</v>
      </c>
      <c r="C33" s="11" t="s">
        <v>11</v>
      </c>
      <c r="D33" s="12"/>
      <c r="E33" s="12"/>
      <c r="F33" s="12" t="str">
        <f t="shared" si="2"/>
        <v/>
      </c>
      <c r="G33" s="13" t="str">
        <f t="shared" si="3"/>
        <v/>
      </c>
      <c r="H33" s="40"/>
    </row>
    <row r="34" spans="1:8" ht="16.8" x14ac:dyDescent="0.4">
      <c r="A34" s="52"/>
      <c r="B34" s="12">
        <v>9</v>
      </c>
      <c r="C34" s="11" t="s">
        <v>19</v>
      </c>
      <c r="D34" s="12"/>
      <c r="E34" s="12"/>
      <c r="F34" s="12" t="str">
        <f t="shared" si="2"/>
        <v/>
      </c>
      <c r="G34" s="13" t="str">
        <f t="shared" si="3"/>
        <v/>
      </c>
      <c r="H34" s="40"/>
    </row>
    <row r="35" spans="1:8" ht="16.8" x14ac:dyDescent="0.4">
      <c r="A35" s="52"/>
      <c r="B35" s="12">
        <v>10</v>
      </c>
      <c r="C35" s="11" t="s">
        <v>12</v>
      </c>
      <c r="D35" s="40"/>
      <c r="E35" s="12"/>
      <c r="F35" s="12" t="str">
        <f t="shared" si="2"/>
        <v/>
      </c>
      <c r="G35" s="13" t="str">
        <f t="shared" si="3"/>
        <v/>
      </c>
      <c r="H35" s="40"/>
    </row>
    <row r="36" spans="1:8" ht="16.8" x14ac:dyDescent="0.4">
      <c r="A36" s="52"/>
      <c r="B36" s="12">
        <v>11</v>
      </c>
      <c r="C36" s="11" t="s">
        <v>13</v>
      </c>
      <c r="D36" s="40"/>
      <c r="E36" s="12"/>
      <c r="F36" s="12" t="str">
        <f t="shared" si="2"/>
        <v/>
      </c>
      <c r="G36" s="13" t="str">
        <f t="shared" si="3"/>
        <v/>
      </c>
      <c r="H36" s="40"/>
    </row>
    <row r="37" spans="1:8" ht="16.8" x14ac:dyDescent="0.4">
      <c r="A37" s="52"/>
      <c r="B37" s="12">
        <v>12</v>
      </c>
      <c r="C37" s="11" t="s">
        <v>20</v>
      </c>
      <c r="D37" s="40"/>
      <c r="E37" s="12"/>
      <c r="F37" s="12" t="str">
        <f t="shared" si="2"/>
        <v/>
      </c>
      <c r="G37" s="13" t="str">
        <f t="shared" si="3"/>
        <v/>
      </c>
      <c r="H37" s="40"/>
    </row>
    <row r="38" spans="1:8" ht="16.8" x14ac:dyDescent="0.4">
      <c r="A38" s="52"/>
      <c r="B38" s="12">
        <v>13</v>
      </c>
      <c r="C38" s="11" t="s">
        <v>21</v>
      </c>
      <c r="D38" s="40"/>
      <c r="E38" s="12"/>
      <c r="F38" s="12" t="str">
        <f t="shared" si="2"/>
        <v/>
      </c>
      <c r="G38" s="13" t="str">
        <f t="shared" si="3"/>
        <v/>
      </c>
      <c r="H38" s="40"/>
    </row>
    <row r="39" spans="1:8" ht="16.8" x14ac:dyDescent="0.4">
      <c r="A39" s="52"/>
      <c r="B39" s="12">
        <v>14</v>
      </c>
      <c r="C39" s="11" t="s">
        <v>14</v>
      </c>
      <c r="D39" s="39"/>
      <c r="E39" s="24" cm="1">
        <f t="array" aca="1" ref="E39" ca="1">HoldingApprovalTable[অনুমোদনের হার]</f>
        <v>71.428571428571431</v>
      </c>
      <c r="F39" s="13" t="str">
        <f ca="1">IF(OR(ISBLANK(D39),ISBLANK(E39)),"",D39-E39)</f>
        <v/>
      </c>
      <c r="G39" s="13" t="str">
        <f ca="1">IF(OR(ISBLANK(D39),ISBLANK(E39)),"",(E39/D39)*100)</f>
        <v/>
      </c>
      <c r="H39" s="40"/>
    </row>
    <row r="40" spans="1:8" ht="16.8" x14ac:dyDescent="0.4">
      <c r="A40" s="52"/>
      <c r="B40" s="12">
        <v>15</v>
      </c>
      <c r="C40" s="11" t="s">
        <v>22</v>
      </c>
      <c r="D40" s="40"/>
      <c r="E40" s="12"/>
      <c r="F40" s="12" t="str">
        <f t="shared" si="2"/>
        <v/>
      </c>
      <c r="G40" s="13" t="str">
        <f t="shared" si="3"/>
        <v/>
      </c>
      <c r="H40" s="40"/>
    </row>
    <row r="41" spans="1:8" ht="16.8" x14ac:dyDescent="0.4">
      <c r="A41" s="52"/>
      <c r="B41" s="12">
        <v>16</v>
      </c>
      <c r="C41" s="11" t="s">
        <v>23</v>
      </c>
      <c r="D41" s="40"/>
      <c r="E41" s="12"/>
      <c r="F41" s="12" t="str">
        <f t="shared" si="2"/>
        <v/>
      </c>
      <c r="G41" s="13" t="str">
        <f t="shared" si="3"/>
        <v/>
      </c>
      <c r="H41" s="40"/>
    </row>
    <row r="42" spans="1:8" ht="16.8" x14ac:dyDescent="0.4">
      <c r="A42" s="52"/>
      <c r="B42" s="12">
        <v>17</v>
      </c>
      <c r="C42" s="11" t="s">
        <v>39</v>
      </c>
      <c r="D42" s="40"/>
      <c r="E42" s="12"/>
      <c r="F42" s="12" t="str">
        <f t="shared" si="2"/>
        <v/>
      </c>
      <c r="G42" s="13" t="str">
        <f t="shared" si="3"/>
        <v/>
      </c>
      <c r="H42" s="40"/>
    </row>
    <row r="43" spans="1:8" ht="16.8" x14ac:dyDescent="0.4">
      <c r="A43" s="53"/>
      <c r="B43" s="18">
        <v>18</v>
      </c>
      <c r="C43" s="16" t="s">
        <v>40</v>
      </c>
      <c r="D43" s="45"/>
      <c r="E43" s="18"/>
      <c r="F43" s="18" t="str">
        <f t="shared" si="2"/>
        <v/>
      </c>
      <c r="G43" s="19" t="str">
        <f t="shared" si="3"/>
        <v/>
      </c>
      <c r="H43" s="45"/>
    </row>
    <row r="44" spans="1:8" ht="16.8" x14ac:dyDescent="0.4">
      <c r="A44" s="46"/>
      <c r="B44" s="40"/>
      <c r="C44" s="9" t="s">
        <v>36</v>
      </c>
      <c r="D44" s="20" t="str">
        <f>IF(COUNTIF(D26:D43,"")=18,"",SUM(D26:D43))</f>
        <v/>
      </c>
      <c r="E44" s="20">
        <f ca="1">IF(COUNTIF(E26:E43,"")=18,"",SUM(E26:E43))</f>
        <v>71.428571428571431</v>
      </c>
      <c r="F44" s="20" t="str">
        <f ca="1">IF(COUNTIF(F26:F43,"")=18,"",SUM(F26:F43))</f>
        <v/>
      </c>
      <c r="G44" s="21" t="str">
        <f ca="1">IF(COUNTIF(G26:G43,"")=18,"",SUM(G26:G43)/(COUNTA(G26:G43)-COUNTBLANK(G26:G43)))</f>
        <v/>
      </c>
      <c r="H44" s="40"/>
    </row>
    <row r="48" spans="1:8" x14ac:dyDescent="0.35">
      <c r="A48" s="51" t="s">
        <v>2</v>
      </c>
      <c r="B48" s="38" t="s">
        <v>0</v>
      </c>
      <c r="C48" s="2" t="s">
        <v>1</v>
      </c>
      <c r="D48" s="38" t="s">
        <v>15</v>
      </c>
      <c r="E48" s="38" t="s">
        <v>4</v>
      </c>
      <c r="F48" s="38" t="s">
        <v>3</v>
      </c>
      <c r="G48" s="38" t="s">
        <v>5</v>
      </c>
      <c r="H48" s="2" t="s">
        <v>16</v>
      </c>
    </row>
    <row r="49" spans="1:8" ht="16.8" x14ac:dyDescent="0.4">
      <c r="A49" s="51"/>
      <c r="B49" s="12">
        <v>1</v>
      </c>
      <c r="C49" s="11" t="s">
        <v>6</v>
      </c>
      <c r="D49" s="39"/>
      <c r="E49" s="24">
        <f>M77</f>
        <v>0</v>
      </c>
      <c r="F49" s="13" t="str">
        <f>IF(OR(ISBLANK(D49),ISBLANK(E49)),"",D49-E49)</f>
        <v/>
      </c>
      <c r="G49" s="13" t="str">
        <f>IF(OR(ISBLANK(D49),ISBLANK(E49)),"",(E49/D49)*100)</f>
        <v/>
      </c>
      <c r="H49" s="40"/>
    </row>
    <row r="50" spans="1:8" ht="16.8" x14ac:dyDescent="0.4">
      <c r="A50" s="52" t="s">
        <v>79</v>
      </c>
      <c r="B50" s="12">
        <v>2</v>
      </c>
      <c r="C50" s="11" t="s">
        <v>7</v>
      </c>
      <c r="D50" s="39"/>
      <c r="E50" s="24">
        <f>N77</f>
        <v>0</v>
      </c>
      <c r="F50" s="13" t="str">
        <f t="shared" ref="F50:F66" si="4">IF(OR(ISBLANK(D50),ISBLANK(E50)),"",D50-E50)</f>
        <v/>
      </c>
      <c r="G50" s="13" t="str">
        <f t="shared" ref="G50:G66" si="5">IF(OR(ISBLANK(D50),ISBLANK(E50)),"",(E50/D50)*100)</f>
        <v/>
      </c>
      <c r="H50" s="40"/>
    </row>
    <row r="51" spans="1:8" ht="16.8" x14ac:dyDescent="0.4">
      <c r="A51" s="52"/>
      <c r="B51" s="12">
        <v>3</v>
      </c>
      <c r="C51" s="11" t="s">
        <v>8</v>
      </c>
      <c r="D51" s="12"/>
      <c r="E51" s="12"/>
      <c r="F51" s="12" t="str">
        <f t="shared" si="4"/>
        <v/>
      </c>
      <c r="G51" s="13" t="str">
        <f t="shared" si="5"/>
        <v/>
      </c>
      <c r="H51" s="40"/>
    </row>
    <row r="52" spans="1:8" ht="16.8" x14ac:dyDescent="0.4">
      <c r="A52" s="52"/>
      <c r="B52" s="12">
        <v>4</v>
      </c>
      <c r="C52" s="11" t="s">
        <v>17</v>
      </c>
      <c r="D52" s="12"/>
      <c r="E52" s="12"/>
      <c r="F52" s="12" t="str">
        <f t="shared" si="4"/>
        <v/>
      </c>
      <c r="G52" s="13" t="str">
        <f t="shared" si="5"/>
        <v/>
      </c>
      <c r="H52" s="40"/>
    </row>
    <row r="53" spans="1:8" ht="16.8" x14ac:dyDescent="0.4">
      <c r="A53" s="52"/>
      <c r="B53" s="12">
        <v>5</v>
      </c>
      <c r="C53" s="11" t="s">
        <v>9</v>
      </c>
      <c r="D53" s="12"/>
      <c r="E53" s="12"/>
      <c r="F53" s="12" t="str">
        <f t="shared" si="4"/>
        <v/>
      </c>
      <c r="G53" s="13" t="str">
        <f t="shared" si="5"/>
        <v/>
      </c>
      <c r="H53" s="40"/>
    </row>
    <row r="54" spans="1:8" ht="16.8" x14ac:dyDescent="0.4">
      <c r="A54" s="52"/>
      <c r="B54" s="12">
        <v>6</v>
      </c>
      <c r="C54" s="11" t="s">
        <v>18</v>
      </c>
      <c r="D54" s="12"/>
      <c r="E54" s="12"/>
      <c r="F54" s="12" t="str">
        <f t="shared" si="4"/>
        <v/>
      </c>
      <c r="G54" s="13" t="str">
        <f t="shared" si="5"/>
        <v/>
      </c>
      <c r="H54" s="40"/>
    </row>
    <row r="55" spans="1:8" ht="16.8" x14ac:dyDescent="0.4">
      <c r="A55" s="52"/>
      <c r="B55" s="12">
        <v>7</v>
      </c>
      <c r="C55" s="11" t="s">
        <v>10</v>
      </c>
      <c r="D55" s="12"/>
      <c r="E55" s="12"/>
      <c r="F55" s="12" t="str">
        <f t="shared" si="4"/>
        <v/>
      </c>
      <c r="G55" s="13" t="str">
        <f t="shared" si="5"/>
        <v/>
      </c>
      <c r="H55" s="40"/>
    </row>
    <row r="56" spans="1:8" ht="16.8" x14ac:dyDescent="0.4">
      <c r="A56" s="52"/>
      <c r="B56" s="12">
        <v>8</v>
      </c>
      <c r="C56" s="11" t="s">
        <v>11</v>
      </c>
      <c r="D56" s="12"/>
      <c r="E56" s="12"/>
      <c r="F56" s="12" t="str">
        <f t="shared" si="4"/>
        <v/>
      </c>
      <c r="G56" s="13" t="str">
        <f t="shared" si="5"/>
        <v/>
      </c>
      <c r="H56" s="40"/>
    </row>
    <row r="57" spans="1:8" ht="16.8" x14ac:dyDescent="0.4">
      <c r="A57" s="52"/>
      <c r="B57" s="12">
        <v>9</v>
      </c>
      <c r="C57" s="11" t="s">
        <v>19</v>
      </c>
      <c r="D57" s="12"/>
      <c r="E57" s="12"/>
      <c r="F57" s="12" t="str">
        <f t="shared" si="4"/>
        <v/>
      </c>
      <c r="G57" s="13" t="str">
        <f t="shared" si="5"/>
        <v/>
      </c>
      <c r="H57" s="40"/>
    </row>
    <row r="58" spans="1:8" ht="16.8" x14ac:dyDescent="0.4">
      <c r="A58" s="52"/>
      <c r="B58" s="12">
        <v>10</v>
      </c>
      <c r="C58" s="11" t="s">
        <v>12</v>
      </c>
      <c r="D58" s="40"/>
      <c r="E58" s="12"/>
      <c r="F58" s="12" t="str">
        <f t="shared" si="4"/>
        <v/>
      </c>
      <c r="G58" s="13" t="str">
        <f t="shared" si="5"/>
        <v/>
      </c>
      <c r="H58" s="40"/>
    </row>
    <row r="59" spans="1:8" ht="16.8" x14ac:dyDescent="0.4">
      <c r="A59" s="52"/>
      <c r="B59" s="12">
        <v>11</v>
      </c>
      <c r="C59" s="11" t="s">
        <v>13</v>
      </c>
      <c r="D59" s="40"/>
      <c r="E59" s="12"/>
      <c r="F59" s="12" t="str">
        <f t="shared" si="4"/>
        <v/>
      </c>
      <c r="G59" s="13" t="str">
        <f t="shared" si="5"/>
        <v/>
      </c>
      <c r="H59" s="40"/>
    </row>
    <row r="60" spans="1:8" ht="16.8" x14ac:dyDescent="0.4">
      <c r="A60" s="52"/>
      <c r="B60" s="12">
        <v>12</v>
      </c>
      <c r="C60" s="11" t="s">
        <v>20</v>
      </c>
      <c r="D60" s="40"/>
      <c r="E60" s="12"/>
      <c r="F60" s="12" t="str">
        <f t="shared" si="4"/>
        <v/>
      </c>
      <c r="G60" s="13" t="str">
        <f t="shared" si="5"/>
        <v/>
      </c>
      <c r="H60" s="40"/>
    </row>
    <row r="61" spans="1:8" ht="16.8" x14ac:dyDescent="0.4">
      <c r="A61" s="52"/>
      <c r="B61" s="12">
        <v>13</v>
      </c>
      <c r="C61" s="11" t="s">
        <v>21</v>
      </c>
      <c r="D61" s="40"/>
      <c r="E61" s="12"/>
      <c r="F61" s="12" t="str">
        <f t="shared" si="4"/>
        <v/>
      </c>
      <c r="G61" s="13" t="str">
        <f t="shared" si="5"/>
        <v/>
      </c>
      <c r="H61" s="40"/>
    </row>
    <row r="62" spans="1:8" ht="16.8" x14ac:dyDescent="0.4">
      <c r="A62" s="52"/>
      <c r="B62" s="12">
        <v>14</v>
      </c>
      <c r="C62" s="11" t="s">
        <v>14</v>
      </c>
      <c r="D62" s="39"/>
      <c r="E62" s="24" cm="1">
        <f t="array" aca="1" ref="E62" ca="1">HoldingApprovalTable[অনুমোদনের হার]</f>
        <v>71.428571428571431</v>
      </c>
      <c r="F62" s="13" t="str">
        <f ca="1">IF(OR(ISBLANK(D62),ISBLANK(E62)),"",D62-E62)</f>
        <v/>
      </c>
      <c r="G62" s="13" t="str">
        <f ca="1">IF(OR(ISBLANK(D62),ISBLANK(E62)),"",(E62/D62)*100)</f>
        <v/>
      </c>
      <c r="H62" s="40"/>
    </row>
    <row r="63" spans="1:8" ht="16.8" x14ac:dyDescent="0.4">
      <c r="A63" s="52"/>
      <c r="B63" s="12">
        <v>15</v>
      </c>
      <c r="C63" s="11" t="s">
        <v>22</v>
      </c>
      <c r="D63" s="40"/>
      <c r="E63" s="12"/>
      <c r="F63" s="12" t="str">
        <f t="shared" si="4"/>
        <v/>
      </c>
      <c r="G63" s="13" t="str">
        <f t="shared" si="5"/>
        <v/>
      </c>
      <c r="H63" s="40"/>
    </row>
    <row r="64" spans="1:8" ht="16.8" x14ac:dyDescent="0.4">
      <c r="A64" s="52"/>
      <c r="B64" s="12">
        <v>16</v>
      </c>
      <c r="C64" s="11" t="s">
        <v>23</v>
      </c>
      <c r="D64" s="40"/>
      <c r="E64" s="12"/>
      <c r="F64" s="12" t="str">
        <f t="shared" si="4"/>
        <v/>
      </c>
      <c r="G64" s="13" t="str">
        <f t="shared" si="5"/>
        <v/>
      </c>
      <c r="H64" s="40"/>
    </row>
    <row r="65" spans="1:8" ht="16.8" x14ac:dyDescent="0.4">
      <c r="A65" s="52"/>
      <c r="B65" s="12">
        <v>17</v>
      </c>
      <c r="C65" s="11" t="s">
        <v>39</v>
      </c>
      <c r="D65" s="40"/>
      <c r="E65" s="12"/>
      <c r="F65" s="12" t="str">
        <f t="shared" si="4"/>
        <v/>
      </c>
      <c r="G65" s="13" t="str">
        <f t="shared" si="5"/>
        <v/>
      </c>
      <c r="H65" s="40"/>
    </row>
    <row r="66" spans="1:8" ht="16.8" x14ac:dyDescent="0.4">
      <c r="A66" s="53"/>
      <c r="B66" s="18">
        <v>18</v>
      </c>
      <c r="C66" s="16" t="s">
        <v>40</v>
      </c>
      <c r="D66" s="45"/>
      <c r="E66" s="18"/>
      <c r="F66" s="18" t="str">
        <f t="shared" si="4"/>
        <v/>
      </c>
      <c r="G66" s="19" t="str">
        <f t="shared" si="5"/>
        <v/>
      </c>
      <c r="H66" s="45"/>
    </row>
    <row r="67" spans="1:8" ht="16.8" x14ac:dyDescent="0.4">
      <c r="A67" s="46"/>
      <c r="B67" s="40"/>
      <c r="C67" s="9" t="s">
        <v>36</v>
      </c>
      <c r="D67" s="20" t="str">
        <f>IF(COUNTIF(D49:D66,"")=18,"",SUM(D49:D66))</f>
        <v/>
      </c>
      <c r="E67" s="20">
        <f ca="1">IF(COUNTIF(E49:E66,"")=18,"",SUM(E49:E66))</f>
        <v>71.428571428571431</v>
      </c>
      <c r="F67" s="20" t="str">
        <f ca="1">IF(COUNTIF(F49:F66,"")=18,"",SUM(F49:F66))</f>
        <v/>
      </c>
      <c r="G67" s="21" t="str">
        <f ca="1">IF(COUNTIF(G49:G66,"")=18,"",SUM(G49:G66)/(COUNTA(G49:G66)-COUNTBLANK(G49:G66)))</f>
        <v/>
      </c>
      <c r="H67" s="40"/>
    </row>
    <row r="71" spans="1:8" x14ac:dyDescent="0.35">
      <c r="A71" s="51" t="s">
        <v>2</v>
      </c>
      <c r="B71" s="38" t="s">
        <v>0</v>
      </c>
      <c r="C71" s="2" t="s">
        <v>1</v>
      </c>
      <c r="D71" s="38" t="s">
        <v>15</v>
      </c>
      <c r="E71" s="38" t="s">
        <v>4</v>
      </c>
      <c r="F71" s="38" t="s">
        <v>3</v>
      </c>
      <c r="G71" s="38" t="s">
        <v>5</v>
      </c>
      <c r="H71" s="2" t="s">
        <v>16</v>
      </c>
    </row>
    <row r="72" spans="1:8" ht="16.8" x14ac:dyDescent="0.4">
      <c r="A72" s="51"/>
      <c r="B72" s="12">
        <v>1</v>
      </c>
      <c r="C72" s="11" t="s">
        <v>6</v>
      </c>
      <c r="D72" s="39"/>
      <c r="E72" s="24">
        <f>M100</f>
        <v>0</v>
      </c>
      <c r="F72" s="13" t="str">
        <f>IF(OR(ISBLANK(D72),ISBLANK(E72)),"",D72-E72)</f>
        <v/>
      </c>
      <c r="G72" s="13" t="str">
        <f>IF(OR(ISBLANK(D72),ISBLANK(E72)),"",(E72/D72)*100)</f>
        <v/>
      </c>
      <c r="H72" s="40"/>
    </row>
    <row r="73" spans="1:8" ht="16.8" x14ac:dyDescent="0.4">
      <c r="A73" s="52" t="s">
        <v>80</v>
      </c>
      <c r="B73" s="12">
        <v>2</v>
      </c>
      <c r="C73" s="11" t="s">
        <v>7</v>
      </c>
      <c r="D73" s="39"/>
      <c r="E73" s="24">
        <f>N100</f>
        <v>0</v>
      </c>
      <c r="F73" s="13" t="str">
        <f t="shared" ref="F73:F89" si="6">IF(OR(ISBLANK(D73),ISBLANK(E73)),"",D73-E73)</f>
        <v/>
      </c>
      <c r="G73" s="13" t="str">
        <f t="shared" ref="G73:G89" si="7">IF(OR(ISBLANK(D73),ISBLANK(E73)),"",(E73/D73)*100)</f>
        <v/>
      </c>
      <c r="H73" s="40"/>
    </row>
    <row r="74" spans="1:8" ht="16.8" x14ac:dyDescent="0.4">
      <c r="A74" s="52"/>
      <c r="B74" s="12">
        <v>3</v>
      </c>
      <c r="C74" s="11" t="s">
        <v>8</v>
      </c>
      <c r="D74" s="12"/>
      <c r="E74" s="12"/>
      <c r="F74" s="12" t="str">
        <f t="shared" si="6"/>
        <v/>
      </c>
      <c r="G74" s="13" t="str">
        <f t="shared" si="7"/>
        <v/>
      </c>
      <c r="H74" s="40"/>
    </row>
    <row r="75" spans="1:8" ht="16.8" x14ac:dyDescent="0.4">
      <c r="A75" s="52"/>
      <c r="B75" s="12">
        <v>4</v>
      </c>
      <c r="C75" s="11" t="s">
        <v>17</v>
      </c>
      <c r="D75" s="12"/>
      <c r="E75" s="12"/>
      <c r="F75" s="12" t="str">
        <f t="shared" si="6"/>
        <v/>
      </c>
      <c r="G75" s="13" t="str">
        <f t="shared" si="7"/>
        <v/>
      </c>
      <c r="H75" s="40"/>
    </row>
    <row r="76" spans="1:8" ht="16.8" x14ac:dyDescent="0.4">
      <c r="A76" s="52"/>
      <c r="B76" s="12">
        <v>5</v>
      </c>
      <c r="C76" s="11" t="s">
        <v>9</v>
      </c>
      <c r="D76" s="12"/>
      <c r="E76" s="12"/>
      <c r="F76" s="12" t="str">
        <f t="shared" si="6"/>
        <v/>
      </c>
      <c r="G76" s="13" t="str">
        <f t="shared" si="7"/>
        <v/>
      </c>
      <c r="H76" s="40"/>
    </row>
    <row r="77" spans="1:8" ht="16.8" x14ac:dyDescent="0.4">
      <c r="A77" s="52"/>
      <c r="B77" s="12">
        <v>6</v>
      </c>
      <c r="C77" s="11" t="s">
        <v>18</v>
      </c>
      <c r="D77" s="12"/>
      <c r="E77" s="12"/>
      <c r="F77" s="12" t="str">
        <f t="shared" si="6"/>
        <v/>
      </c>
      <c r="G77" s="13" t="str">
        <f t="shared" si="7"/>
        <v/>
      </c>
      <c r="H77" s="40"/>
    </row>
    <row r="78" spans="1:8" ht="16.8" x14ac:dyDescent="0.4">
      <c r="A78" s="52"/>
      <c r="B78" s="12">
        <v>7</v>
      </c>
      <c r="C78" s="11" t="s">
        <v>10</v>
      </c>
      <c r="D78" s="12"/>
      <c r="E78" s="12"/>
      <c r="F78" s="12" t="str">
        <f t="shared" si="6"/>
        <v/>
      </c>
      <c r="G78" s="13" t="str">
        <f t="shared" si="7"/>
        <v/>
      </c>
      <c r="H78" s="40"/>
    </row>
    <row r="79" spans="1:8" ht="16.8" x14ac:dyDescent="0.4">
      <c r="A79" s="52"/>
      <c r="B79" s="12">
        <v>8</v>
      </c>
      <c r="C79" s="11" t="s">
        <v>11</v>
      </c>
      <c r="D79" s="12"/>
      <c r="E79" s="12"/>
      <c r="F79" s="12" t="str">
        <f t="shared" si="6"/>
        <v/>
      </c>
      <c r="G79" s="13" t="str">
        <f t="shared" si="7"/>
        <v/>
      </c>
      <c r="H79" s="40"/>
    </row>
    <row r="80" spans="1:8" ht="16.8" x14ac:dyDescent="0.4">
      <c r="A80" s="52"/>
      <c r="B80" s="12">
        <v>9</v>
      </c>
      <c r="C80" s="11" t="s">
        <v>19</v>
      </c>
      <c r="D80" s="12"/>
      <c r="E80" s="12"/>
      <c r="F80" s="12" t="str">
        <f t="shared" si="6"/>
        <v/>
      </c>
      <c r="G80" s="13" t="str">
        <f t="shared" si="7"/>
        <v/>
      </c>
      <c r="H80" s="40"/>
    </row>
    <row r="81" spans="1:10" ht="16.8" x14ac:dyDescent="0.4">
      <c r="A81" s="52"/>
      <c r="B81" s="12">
        <v>10</v>
      </c>
      <c r="C81" s="11" t="s">
        <v>12</v>
      </c>
      <c r="D81" s="40"/>
      <c r="E81" s="12"/>
      <c r="F81" s="12" t="str">
        <f t="shared" si="6"/>
        <v/>
      </c>
      <c r="G81" s="13" t="str">
        <f t="shared" si="7"/>
        <v/>
      </c>
      <c r="H81" s="40"/>
    </row>
    <row r="82" spans="1:10" ht="16.8" x14ac:dyDescent="0.4">
      <c r="A82" s="52"/>
      <c r="B82" s="12">
        <v>11</v>
      </c>
      <c r="C82" s="11" t="s">
        <v>13</v>
      </c>
      <c r="D82" s="40"/>
      <c r="E82" s="12"/>
      <c r="F82" s="12" t="str">
        <f t="shared" si="6"/>
        <v/>
      </c>
      <c r="G82" s="13" t="str">
        <f t="shared" si="7"/>
        <v/>
      </c>
      <c r="H82" s="40"/>
    </row>
    <row r="83" spans="1:10" ht="16.8" x14ac:dyDescent="0.4">
      <c r="A83" s="52"/>
      <c r="B83" s="12">
        <v>12</v>
      </c>
      <c r="C83" s="11" t="s">
        <v>20</v>
      </c>
      <c r="D83" s="40"/>
      <c r="E83" s="12"/>
      <c r="F83" s="12" t="str">
        <f t="shared" si="6"/>
        <v/>
      </c>
      <c r="G83" s="13" t="str">
        <f t="shared" si="7"/>
        <v/>
      </c>
      <c r="H83" s="40"/>
    </row>
    <row r="84" spans="1:10" ht="16.8" x14ac:dyDescent="0.4">
      <c r="A84" s="52"/>
      <c r="B84" s="12">
        <v>13</v>
      </c>
      <c r="C84" s="11" t="s">
        <v>21</v>
      </c>
      <c r="D84" s="40"/>
      <c r="E84" s="12"/>
      <c r="F84" s="12" t="str">
        <f t="shared" si="6"/>
        <v/>
      </c>
      <c r="G84" s="13" t="str">
        <f t="shared" si="7"/>
        <v/>
      </c>
      <c r="H84" s="40"/>
    </row>
    <row r="85" spans="1:10" ht="16.8" x14ac:dyDescent="0.4">
      <c r="A85" s="52"/>
      <c r="B85" s="12">
        <v>14</v>
      </c>
      <c r="C85" s="11" t="s">
        <v>14</v>
      </c>
      <c r="D85" s="39"/>
      <c r="E85" s="24" cm="1">
        <f t="array" aca="1" ref="E85" ca="1">HoldingApprovalTable[অনুমোদনের হার]</f>
        <v>71.428571428571431</v>
      </c>
      <c r="F85" s="13" t="str">
        <f ca="1">IF(OR(ISBLANK(D85),ISBLANK(E85)),"",D85-E85)</f>
        <v/>
      </c>
      <c r="G85" s="13" t="str">
        <f ca="1">IF(OR(ISBLANK(D85),ISBLANK(E85)),"",(E85/D85)*100)</f>
        <v/>
      </c>
      <c r="H85" s="40"/>
    </row>
    <row r="86" spans="1:10" ht="16.8" x14ac:dyDescent="0.4">
      <c r="A86" s="52"/>
      <c r="B86" s="12">
        <v>15</v>
      </c>
      <c r="C86" s="11" t="s">
        <v>22</v>
      </c>
      <c r="D86" s="40"/>
      <c r="E86" s="12"/>
      <c r="F86" s="12" t="str">
        <f t="shared" si="6"/>
        <v/>
      </c>
      <c r="G86" s="13" t="str">
        <f t="shared" si="7"/>
        <v/>
      </c>
      <c r="H86" s="40"/>
    </row>
    <row r="87" spans="1:10" ht="16.8" x14ac:dyDescent="0.4">
      <c r="A87" s="52"/>
      <c r="B87" s="12">
        <v>16</v>
      </c>
      <c r="C87" s="11" t="s">
        <v>23</v>
      </c>
      <c r="D87" s="40"/>
      <c r="E87" s="12"/>
      <c r="F87" s="12" t="str">
        <f t="shared" si="6"/>
        <v/>
      </c>
      <c r="G87" s="13" t="str">
        <f t="shared" si="7"/>
        <v/>
      </c>
      <c r="H87" s="40"/>
    </row>
    <row r="88" spans="1:10" ht="16.8" x14ac:dyDescent="0.4">
      <c r="A88" s="52"/>
      <c r="B88" s="12">
        <v>17</v>
      </c>
      <c r="C88" s="11" t="s">
        <v>39</v>
      </c>
      <c r="D88" s="40"/>
      <c r="E88" s="12"/>
      <c r="F88" s="12" t="str">
        <f t="shared" si="6"/>
        <v/>
      </c>
      <c r="G88" s="13" t="str">
        <f t="shared" si="7"/>
        <v/>
      </c>
      <c r="H88" s="40"/>
    </row>
    <row r="89" spans="1:10" ht="16.8" x14ac:dyDescent="0.4">
      <c r="A89" s="53"/>
      <c r="B89" s="18">
        <v>18</v>
      </c>
      <c r="C89" s="16" t="s">
        <v>40</v>
      </c>
      <c r="D89" s="45"/>
      <c r="E89" s="18"/>
      <c r="F89" s="18" t="str">
        <f t="shared" si="6"/>
        <v/>
      </c>
      <c r="G89" s="19" t="str">
        <f t="shared" si="7"/>
        <v/>
      </c>
      <c r="H89" s="45"/>
    </row>
    <row r="90" spans="1:10" ht="16.8" x14ac:dyDescent="0.4">
      <c r="A90" s="46"/>
      <c r="B90" s="40"/>
      <c r="C90" s="9" t="s">
        <v>36</v>
      </c>
      <c r="D90" s="20" t="str">
        <f>IF(COUNTIF(D72:D89,"")=18,"",SUM(D72:D89))</f>
        <v/>
      </c>
      <c r="E90" s="20">
        <f ca="1">IF(COUNTIF(E72:E89,"")=18,"",SUM(E72:E89))</f>
        <v>71.428571428571431</v>
      </c>
      <c r="F90" s="20" t="str">
        <f ca="1">IF(COUNTIF(F72:F89,"")=18,"",SUM(F72:F89))</f>
        <v/>
      </c>
      <c r="G90" s="21" t="str">
        <f ca="1">IF(COUNTIF(G72:G89,"")=18,"",SUM(G72:G89)/(COUNTA(G72:G89)-COUNTBLANK(G72:G89)))</f>
        <v/>
      </c>
      <c r="H90" s="40"/>
    </row>
    <row r="94" spans="1:10" x14ac:dyDescent="0.35">
      <c r="A94" s="51" t="s">
        <v>2</v>
      </c>
      <c r="B94" s="38" t="s">
        <v>0</v>
      </c>
      <c r="C94" s="2" t="s">
        <v>1</v>
      </c>
      <c r="D94" s="38" t="s">
        <v>15</v>
      </c>
      <c r="E94" s="38" t="s">
        <v>4</v>
      </c>
      <c r="F94" s="38" t="s">
        <v>3</v>
      </c>
      <c r="G94" s="38" t="s">
        <v>5</v>
      </c>
      <c r="H94" s="2" t="s">
        <v>16</v>
      </c>
    </row>
    <row r="95" spans="1:10" ht="16.8" x14ac:dyDescent="0.4">
      <c r="A95" s="51"/>
      <c r="B95" s="12">
        <v>1</v>
      </c>
      <c r="C95" s="11" t="s">
        <v>6</v>
      </c>
      <c r="D95" s="39"/>
      <c r="E95" s="24">
        <f>M123</f>
        <v>0</v>
      </c>
      <c r="F95" s="13" t="str">
        <f>IF(OR(ISBLANK(D95),ISBLANK(E95)),"",D95-E95)</f>
        <v/>
      </c>
      <c r="G95" s="13" t="str">
        <f>IF(OR(ISBLANK(D95),ISBLANK(E95)),"",(E95/D95)*100)</f>
        <v/>
      </c>
      <c r="H95" s="40"/>
    </row>
    <row r="96" spans="1:10" ht="16.8" x14ac:dyDescent="0.4">
      <c r="A96" s="52" t="s">
        <v>81</v>
      </c>
      <c r="B96" s="12">
        <v>2</v>
      </c>
      <c r="C96" s="11" t="s">
        <v>7</v>
      </c>
      <c r="D96" s="39"/>
      <c r="E96" s="24">
        <f>N123</f>
        <v>0</v>
      </c>
      <c r="F96" s="13" t="str">
        <f t="shared" ref="F96:F112" si="8">IF(OR(ISBLANK(D96),ISBLANK(E96)),"",D96-E96)</f>
        <v/>
      </c>
      <c r="G96" s="13" t="str">
        <f t="shared" ref="G96:G112" si="9">IF(OR(ISBLANK(D96),ISBLANK(E96)),"",(E96/D96)*100)</f>
        <v/>
      </c>
      <c r="H96" s="40"/>
      <c r="J96" s="47"/>
    </row>
    <row r="97" spans="1:8" ht="16.8" x14ac:dyDescent="0.4">
      <c r="A97" s="52"/>
      <c r="B97" s="12">
        <v>3</v>
      </c>
      <c r="C97" s="11" t="s">
        <v>8</v>
      </c>
      <c r="D97" s="12"/>
      <c r="E97" s="12"/>
      <c r="F97" s="12" t="str">
        <f t="shared" si="8"/>
        <v/>
      </c>
      <c r="G97" s="13" t="str">
        <f t="shared" si="9"/>
        <v/>
      </c>
      <c r="H97" s="40"/>
    </row>
    <row r="98" spans="1:8" ht="16.8" x14ac:dyDescent="0.4">
      <c r="A98" s="52"/>
      <c r="B98" s="12">
        <v>4</v>
      </c>
      <c r="C98" s="11" t="s">
        <v>17</v>
      </c>
      <c r="D98" s="12"/>
      <c r="E98" s="12"/>
      <c r="F98" s="12" t="str">
        <f t="shared" si="8"/>
        <v/>
      </c>
      <c r="G98" s="13" t="str">
        <f t="shared" si="9"/>
        <v/>
      </c>
      <c r="H98" s="40"/>
    </row>
    <row r="99" spans="1:8" ht="16.8" x14ac:dyDescent="0.4">
      <c r="A99" s="52"/>
      <c r="B99" s="12">
        <v>5</v>
      </c>
      <c r="C99" s="11" t="s">
        <v>9</v>
      </c>
      <c r="D99" s="12"/>
      <c r="E99" s="12"/>
      <c r="F99" s="12" t="str">
        <f t="shared" si="8"/>
        <v/>
      </c>
      <c r="G99" s="13" t="str">
        <f t="shared" si="9"/>
        <v/>
      </c>
      <c r="H99" s="40"/>
    </row>
    <row r="100" spans="1:8" ht="16.8" x14ac:dyDescent="0.4">
      <c r="A100" s="52"/>
      <c r="B100" s="12">
        <v>6</v>
      </c>
      <c r="C100" s="11" t="s">
        <v>18</v>
      </c>
      <c r="D100" s="12"/>
      <c r="E100" s="12"/>
      <c r="F100" s="12" t="str">
        <f t="shared" si="8"/>
        <v/>
      </c>
      <c r="G100" s="13" t="str">
        <f t="shared" si="9"/>
        <v/>
      </c>
      <c r="H100" s="40"/>
    </row>
    <row r="101" spans="1:8" ht="16.8" x14ac:dyDescent="0.4">
      <c r="A101" s="52"/>
      <c r="B101" s="12">
        <v>7</v>
      </c>
      <c r="C101" s="11" t="s">
        <v>10</v>
      </c>
      <c r="D101" s="12"/>
      <c r="E101" s="12"/>
      <c r="F101" s="12" t="str">
        <f t="shared" si="8"/>
        <v/>
      </c>
      <c r="G101" s="13" t="str">
        <f t="shared" si="9"/>
        <v/>
      </c>
      <c r="H101" s="40"/>
    </row>
    <row r="102" spans="1:8" ht="16.8" x14ac:dyDescent="0.4">
      <c r="A102" s="52"/>
      <c r="B102" s="12">
        <v>8</v>
      </c>
      <c r="C102" s="11" t="s">
        <v>11</v>
      </c>
      <c r="D102" s="12"/>
      <c r="E102" s="12"/>
      <c r="F102" s="12" t="str">
        <f t="shared" si="8"/>
        <v/>
      </c>
      <c r="G102" s="13" t="str">
        <f t="shared" si="9"/>
        <v/>
      </c>
      <c r="H102" s="40"/>
    </row>
    <row r="103" spans="1:8" ht="16.8" x14ac:dyDescent="0.4">
      <c r="A103" s="52"/>
      <c r="B103" s="12">
        <v>9</v>
      </c>
      <c r="C103" s="11" t="s">
        <v>19</v>
      </c>
      <c r="D103" s="12"/>
      <c r="E103" s="12"/>
      <c r="F103" s="12" t="str">
        <f t="shared" si="8"/>
        <v/>
      </c>
      <c r="G103" s="13" t="str">
        <f t="shared" si="9"/>
        <v/>
      </c>
      <c r="H103" s="40"/>
    </row>
    <row r="104" spans="1:8" ht="16.8" x14ac:dyDescent="0.4">
      <c r="A104" s="52"/>
      <c r="B104" s="12">
        <v>10</v>
      </c>
      <c r="C104" s="11" t="s">
        <v>12</v>
      </c>
      <c r="D104" s="40"/>
      <c r="E104" s="12"/>
      <c r="F104" s="12" t="str">
        <f t="shared" si="8"/>
        <v/>
      </c>
      <c r="G104" s="13" t="str">
        <f t="shared" si="9"/>
        <v/>
      </c>
      <c r="H104" s="40"/>
    </row>
    <row r="105" spans="1:8" ht="16.8" x14ac:dyDescent="0.4">
      <c r="A105" s="52"/>
      <c r="B105" s="12">
        <v>11</v>
      </c>
      <c r="C105" s="11" t="s">
        <v>13</v>
      </c>
      <c r="D105" s="40"/>
      <c r="E105" s="12"/>
      <c r="F105" s="12" t="str">
        <f t="shared" si="8"/>
        <v/>
      </c>
      <c r="G105" s="13" t="str">
        <f t="shared" si="9"/>
        <v/>
      </c>
      <c r="H105" s="40"/>
    </row>
    <row r="106" spans="1:8" ht="16.8" x14ac:dyDescent="0.4">
      <c r="A106" s="52"/>
      <c r="B106" s="12">
        <v>12</v>
      </c>
      <c r="C106" s="11" t="s">
        <v>20</v>
      </c>
      <c r="D106" s="40"/>
      <c r="E106" s="12"/>
      <c r="F106" s="12" t="str">
        <f t="shared" si="8"/>
        <v/>
      </c>
      <c r="G106" s="13" t="str">
        <f t="shared" si="9"/>
        <v/>
      </c>
      <c r="H106" s="40"/>
    </row>
    <row r="107" spans="1:8" ht="16.8" x14ac:dyDescent="0.4">
      <c r="A107" s="52"/>
      <c r="B107" s="12">
        <v>13</v>
      </c>
      <c r="C107" s="11" t="s">
        <v>21</v>
      </c>
      <c r="D107" s="40"/>
      <c r="E107" s="12"/>
      <c r="F107" s="12" t="str">
        <f t="shared" si="8"/>
        <v/>
      </c>
      <c r="G107" s="13" t="str">
        <f t="shared" si="9"/>
        <v/>
      </c>
      <c r="H107" s="40"/>
    </row>
    <row r="108" spans="1:8" ht="16.8" x14ac:dyDescent="0.4">
      <c r="A108" s="52"/>
      <c r="B108" s="12">
        <v>14</v>
      </c>
      <c r="C108" s="11" t="s">
        <v>14</v>
      </c>
      <c r="D108" s="39"/>
      <c r="E108" s="24" cm="1">
        <f t="array" aca="1" ref="E108" ca="1">HoldingApprovalTable[অনুমোদনের হার]</f>
        <v>71.428571428571431</v>
      </c>
      <c r="F108" s="13" t="str">
        <f ca="1">IF(OR(ISBLANK(D108),ISBLANK(E108)),"",D108-E108)</f>
        <v/>
      </c>
      <c r="G108" s="13" t="str">
        <f ca="1">IF(OR(ISBLANK(D108),ISBLANK(E108)),"",(E108/D108)*100)</f>
        <v/>
      </c>
      <c r="H108" s="40"/>
    </row>
    <row r="109" spans="1:8" ht="16.8" x14ac:dyDescent="0.4">
      <c r="A109" s="52"/>
      <c r="B109" s="12">
        <v>15</v>
      </c>
      <c r="C109" s="11" t="s">
        <v>22</v>
      </c>
      <c r="D109" s="40"/>
      <c r="E109" s="12"/>
      <c r="F109" s="12" t="str">
        <f t="shared" si="8"/>
        <v/>
      </c>
      <c r="G109" s="13" t="str">
        <f t="shared" si="9"/>
        <v/>
      </c>
      <c r="H109" s="40"/>
    </row>
    <row r="110" spans="1:8" ht="16.8" x14ac:dyDescent="0.4">
      <c r="A110" s="52"/>
      <c r="B110" s="12">
        <v>16</v>
      </c>
      <c r="C110" s="11" t="s">
        <v>23</v>
      </c>
      <c r="D110" s="40"/>
      <c r="E110" s="12"/>
      <c r="F110" s="12" t="str">
        <f t="shared" si="8"/>
        <v/>
      </c>
      <c r="G110" s="13" t="str">
        <f t="shared" si="9"/>
        <v/>
      </c>
      <c r="H110" s="40"/>
    </row>
    <row r="111" spans="1:8" ht="16.8" x14ac:dyDescent="0.4">
      <c r="A111" s="52"/>
      <c r="B111" s="12">
        <v>17</v>
      </c>
      <c r="C111" s="11" t="s">
        <v>39</v>
      </c>
      <c r="D111" s="40"/>
      <c r="E111" s="12"/>
      <c r="F111" s="12" t="str">
        <f t="shared" si="8"/>
        <v/>
      </c>
      <c r="G111" s="13" t="str">
        <f t="shared" si="9"/>
        <v/>
      </c>
      <c r="H111" s="40"/>
    </row>
    <row r="112" spans="1:8" ht="16.8" x14ac:dyDescent="0.4">
      <c r="A112" s="53"/>
      <c r="B112" s="18">
        <v>18</v>
      </c>
      <c r="C112" s="16" t="s">
        <v>40</v>
      </c>
      <c r="D112" s="45"/>
      <c r="E112" s="18"/>
      <c r="F112" s="18" t="str">
        <f t="shared" si="8"/>
        <v/>
      </c>
      <c r="G112" s="19" t="str">
        <f t="shared" si="9"/>
        <v/>
      </c>
      <c r="H112" s="45"/>
    </row>
    <row r="113" spans="1:8" ht="16.8" x14ac:dyDescent="0.4">
      <c r="A113" s="46"/>
      <c r="B113" s="40"/>
      <c r="C113" s="9" t="s">
        <v>36</v>
      </c>
      <c r="D113" s="20" t="str">
        <f>IF(COUNTIF(D95:D112,"")=18,"",SUM(D95:D112))</f>
        <v/>
      </c>
      <c r="E113" s="20">
        <f ca="1">IF(COUNTIF(E95:E112,"")=18,"",SUM(E95:E112))</f>
        <v>71.428571428571431</v>
      </c>
      <c r="F113" s="20" t="str">
        <f ca="1">IF(COUNTIF(F95:F112,"")=18,"",SUM(F95:F112))</f>
        <v/>
      </c>
      <c r="G113" s="21" t="str">
        <f ca="1">IF(COUNTIF(G95:G112,"")=18,"",SUM(G95:G112)/(COUNTA(G95:G112)-COUNTBLANK(G95:G112)))</f>
        <v/>
      </c>
      <c r="H113" s="40"/>
    </row>
    <row r="117" spans="1:8" x14ac:dyDescent="0.35">
      <c r="A117" s="51" t="s">
        <v>2</v>
      </c>
      <c r="B117" s="38" t="s">
        <v>0</v>
      </c>
      <c r="C117" s="2" t="s">
        <v>1</v>
      </c>
      <c r="D117" s="38" t="s">
        <v>15</v>
      </c>
      <c r="E117" s="38" t="s">
        <v>4</v>
      </c>
      <c r="F117" s="38" t="s">
        <v>3</v>
      </c>
      <c r="G117" s="38" t="s">
        <v>5</v>
      </c>
      <c r="H117" s="2" t="s">
        <v>16</v>
      </c>
    </row>
    <row r="118" spans="1:8" ht="16.8" x14ac:dyDescent="0.4">
      <c r="A118" s="51"/>
      <c r="B118" s="12">
        <v>1</v>
      </c>
      <c r="C118" s="11" t="s">
        <v>6</v>
      </c>
      <c r="D118" s="39"/>
      <c r="E118" s="24">
        <f>M146</f>
        <v>0</v>
      </c>
      <c r="F118" s="13" t="str">
        <f>IF(OR(ISBLANK(D118),ISBLANK(E118)),"",D118-E118)</f>
        <v/>
      </c>
      <c r="G118" s="13" t="str">
        <f>IF(OR(ISBLANK(D118),ISBLANK(E118)),"",(E118/D118)*100)</f>
        <v/>
      </c>
      <c r="H118" s="40"/>
    </row>
    <row r="119" spans="1:8" ht="16.8" x14ac:dyDescent="0.4">
      <c r="A119" s="52" t="s">
        <v>82</v>
      </c>
      <c r="B119" s="12">
        <v>2</v>
      </c>
      <c r="C119" s="11" t="s">
        <v>7</v>
      </c>
      <c r="D119" s="39"/>
      <c r="E119" s="24">
        <f>N146</f>
        <v>0</v>
      </c>
      <c r="F119" s="13" t="str">
        <f t="shared" ref="F119:F135" si="10">IF(OR(ISBLANK(D119),ISBLANK(E119)),"",D119-E119)</f>
        <v/>
      </c>
      <c r="G119" s="13" t="str">
        <f t="shared" ref="G119:G135" si="11">IF(OR(ISBLANK(D119),ISBLANK(E119)),"",(E119/D119)*100)</f>
        <v/>
      </c>
      <c r="H119" s="40"/>
    </row>
    <row r="120" spans="1:8" ht="16.8" x14ac:dyDescent="0.4">
      <c r="A120" s="52"/>
      <c r="B120" s="12">
        <v>3</v>
      </c>
      <c r="C120" s="11" t="s">
        <v>8</v>
      </c>
      <c r="D120" s="12"/>
      <c r="E120" s="12"/>
      <c r="F120" s="12" t="str">
        <f t="shared" si="10"/>
        <v/>
      </c>
      <c r="G120" s="13" t="str">
        <f t="shared" si="11"/>
        <v/>
      </c>
      <c r="H120" s="40"/>
    </row>
    <row r="121" spans="1:8" ht="16.8" x14ac:dyDescent="0.4">
      <c r="A121" s="52"/>
      <c r="B121" s="12">
        <v>4</v>
      </c>
      <c r="C121" s="11" t="s">
        <v>17</v>
      </c>
      <c r="D121" s="12"/>
      <c r="E121" s="12"/>
      <c r="F121" s="12" t="str">
        <f t="shared" si="10"/>
        <v/>
      </c>
      <c r="G121" s="13" t="str">
        <f t="shared" si="11"/>
        <v/>
      </c>
      <c r="H121" s="40"/>
    </row>
    <row r="122" spans="1:8" ht="16.8" x14ac:dyDescent="0.4">
      <c r="A122" s="52"/>
      <c r="B122" s="12">
        <v>5</v>
      </c>
      <c r="C122" s="11" t="s">
        <v>9</v>
      </c>
      <c r="D122" s="12"/>
      <c r="E122" s="12"/>
      <c r="F122" s="12" t="str">
        <f t="shared" si="10"/>
        <v/>
      </c>
      <c r="G122" s="13" t="str">
        <f t="shared" si="11"/>
        <v/>
      </c>
      <c r="H122" s="40"/>
    </row>
    <row r="123" spans="1:8" ht="16.8" x14ac:dyDescent="0.4">
      <c r="A123" s="52"/>
      <c r="B123" s="12">
        <v>6</v>
      </c>
      <c r="C123" s="11" t="s">
        <v>18</v>
      </c>
      <c r="D123" s="12"/>
      <c r="E123" s="12"/>
      <c r="F123" s="12" t="str">
        <f t="shared" si="10"/>
        <v/>
      </c>
      <c r="G123" s="13" t="str">
        <f t="shared" si="11"/>
        <v/>
      </c>
      <c r="H123" s="40"/>
    </row>
    <row r="124" spans="1:8" ht="16.8" x14ac:dyDescent="0.4">
      <c r="A124" s="52"/>
      <c r="B124" s="12">
        <v>7</v>
      </c>
      <c r="C124" s="11" t="s">
        <v>10</v>
      </c>
      <c r="D124" s="12"/>
      <c r="E124" s="12"/>
      <c r="F124" s="12" t="str">
        <f t="shared" si="10"/>
        <v/>
      </c>
      <c r="G124" s="13" t="str">
        <f t="shared" si="11"/>
        <v/>
      </c>
      <c r="H124" s="40"/>
    </row>
    <row r="125" spans="1:8" ht="16.8" x14ac:dyDescent="0.4">
      <c r="A125" s="52"/>
      <c r="B125" s="12">
        <v>8</v>
      </c>
      <c r="C125" s="11" t="s">
        <v>11</v>
      </c>
      <c r="D125" s="12"/>
      <c r="E125" s="12"/>
      <c r="F125" s="12" t="str">
        <f t="shared" si="10"/>
        <v/>
      </c>
      <c r="G125" s="13" t="str">
        <f t="shared" si="11"/>
        <v/>
      </c>
      <c r="H125" s="40"/>
    </row>
    <row r="126" spans="1:8" ht="16.8" x14ac:dyDescent="0.4">
      <c r="A126" s="52"/>
      <c r="B126" s="12">
        <v>9</v>
      </c>
      <c r="C126" s="11" t="s">
        <v>19</v>
      </c>
      <c r="D126" s="12"/>
      <c r="E126" s="12"/>
      <c r="F126" s="12" t="str">
        <f t="shared" si="10"/>
        <v/>
      </c>
      <c r="G126" s="13" t="str">
        <f t="shared" si="11"/>
        <v/>
      </c>
      <c r="H126" s="40"/>
    </row>
    <row r="127" spans="1:8" ht="16.8" x14ac:dyDescent="0.4">
      <c r="A127" s="52"/>
      <c r="B127" s="12">
        <v>10</v>
      </c>
      <c r="C127" s="11" t="s">
        <v>12</v>
      </c>
      <c r="D127" s="40"/>
      <c r="E127" s="12"/>
      <c r="F127" s="12" t="str">
        <f t="shared" si="10"/>
        <v/>
      </c>
      <c r="G127" s="13" t="str">
        <f t="shared" si="11"/>
        <v/>
      </c>
      <c r="H127" s="40"/>
    </row>
    <row r="128" spans="1:8" ht="16.8" x14ac:dyDescent="0.4">
      <c r="A128" s="52"/>
      <c r="B128" s="12">
        <v>11</v>
      </c>
      <c r="C128" s="11" t="s">
        <v>13</v>
      </c>
      <c r="D128" s="40"/>
      <c r="E128" s="12"/>
      <c r="F128" s="12" t="str">
        <f t="shared" si="10"/>
        <v/>
      </c>
      <c r="G128" s="13" t="str">
        <f t="shared" si="11"/>
        <v/>
      </c>
      <c r="H128" s="40"/>
    </row>
    <row r="129" spans="1:8" ht="16.8" x14ac:dyDescent="0.4">
      <c r="A129" s="52"/>
      <c r="B129" s="12">
        <v>12</v>
      </c>
      <c r="C129" s="11" t="s">
        <v>20</v>
      </c>
      <c r="D129" s="40"/>
      <c r="E129" s="12"/>
      <c r="F129" s="12" t="str">
        <f t="shared" si="10"/>
        <v/>
      </c>
      <c r="G129" s="13" t="str">
        <f t="shared" si="11"/>
        <v/>
      </c>
      <c r="H129" s="40"/>
    </row>
    <row r="130" spans="1:8" ht="16.8" x14ac:dyDescent="0.4">
      <c r="A130" s="52"/>
      <c r="B130" s="12">
        <v>13</v>
      </c>
      <c r="C130" s="11" t="s">
        <v>21</v>
      </c>
      <c r="D130" s="40"/>
      <c r="E130" s="12"/>
      <c r="F130" s="12" t="str">
        <f t="shared" si="10"/>
        <v/>
      </c>
      <c r="G130" s="13" t="str">
        <f t="shared" si="11"/>
        <v/>
      </c>
      <c r="H130" s="40"/>
    </row>
    <row r="131" spans="1:8" ht="16.8" x14ac:dyDescent="0.4">
      <c r="A131" s="52"/>
      <c r="B131" s="12">
        <v>14</v>
      </c>
      <c r="C131" s="11" t="s">
        <v>14</v>
      </c>
      <c r="D131" s="39"/>
      <c r="E131" s="24" cm="1">
        <f t="array" aca="1" ref="E131" ca="1">HoldingApprovalTable[অনুমোদনের হার]</f>
        <v>71.428571428571431</v>
      </c>
      <c r="F131" s="13" t="str">
        <f ca="1">IF(OR(ISBLANK(D131),ISBLANK(E131)),"",D131-E131)</f>
        <v/>
      </c>
      <c r="G131" s="13" t="str">
        <f ca="1">IF(OR(ISBLANK(D131),ISBLANK(E131)),"",(E131/D131)*100)</f>
        <v/>
      </c>
      <c r="H131" s="40"/>
    </row>
    <row r="132" spans="1:8" ht="16.8" x14ac:dyDescent="0.4">
      <c r="A132" s="52"/>
      <c r="B132" s="12">
        <v>15</v>
      </c>
      <c r="C132" s="11" t="s">
        <v>22</v>
      </c>
      <c r="D132" s="40"/>
      <c r="E132" s="12"/>
      <c r="F132" s="12" t="str">
        <f t="shared" si="10"/>
        <v/>
      </c>
      <c r="G132" s="13" t="str">
        <f t="shared" si="11"/>
        <v/>
      </c>
      <c r="H132" s="40"/>
    </row>
    <row r="133" spans="1:8" ht="16.8" x14ac:dyDescent="0.4">
      <c r="A133" s="52"/>
      <c r="B133" s="12">
        <v>16</v>
      </c>
      <c r="C133" s="11" t="s">
        <v>23</v>
      </c>
      <c r="D133" s="40"/>
      <c r="E133" s="12"/>
      <c r="F133" s="12" t="str">
        <f t="shared" si="10"/>
        <v/>
      </c>
      <c r="G133" s="13" t="str">
        <f t="shared" si="11"/>
        <v/>
      </c>
      <c r="H133" s="40"/>
    </row>
    <row r="134" spans="1:8" ht="16.8" x14ac:dyDescent="0.4">
      <c r="A134" s="52"/>
      <c r="B134" s="12">
        <v>17</v>
      </c>
      <c r="C134" s="11" t="s">
        <v>39</v>
      </c>
      <c r="D134" s="40"/>
      <c r="E134" s="12"/>
      <c r="F134" s="12" t="str">
        <f t="shared" si="10"/>
        <v/>
      </c>
      <c r="G134" s="13" t="str">
        <f t="shared" si="11"/>
        <v/>
      </c>
      <c r="H134" s="40"/>
    </row>
    <row r="135" spans="1:8" ht="16.8" x14ac:dyDescent="0.4">
      <c r="A135" s="53"/>
      <c r="B135" s="18">
        <v>18</v>
      </c>
      <c r="C135" s="16" t="s">
        <v>40</v>
      </c>
      <c r="D135" s="45"/>
      <c r="E135" s="18"/>
      <c r="F135" s="18" t="str">
        <f t="shared" si="10"/>
        <v/>
      </c>
      <c r="G135" s="19" t="str">
        <f t="shared" si="11"/>
        <v/>
      </c>
      <c r="H135" s="45"/>
    </row>
    <row r="136" spans="1:8" ht="16.8" x14ac:dyDescent="0.4">
      <c r="A136" s="46"/>
      <c r="B136" s="40"/>
      <c r="C136" s="9" t="s">
        <v>36</v>
      </c>
      <c r="D136" s="20" t="str">
        <f>IF(COUNTIF(D118:D135,"")=18,"",SUM(D118:D135))</f>
        <v/>
      </c>
      <c r="E136" s="20">
        <f ca="1">IF(COUNTIF(E118:E135,"")=18,"",SUM(E118:E135))</f>
        <v>71.428571428571431</v>
      </c>
      <c r="F136" s="20" t="str">
        <f ca="1">IF(COUNTIF(F118:F135,"")=18,"",SUM(F118:F135))</f>
        <v/>
      </c>
      <c r="G136" s="21" t="str">
        <f ca="1">IF(COUNTIF(G118:G135,"")=18,"",SUM(G118:G135)/(COUNTA(G118:G135)-COUNTBLANK(G118:G135)))</f>
        <v/>
      </c>
      <c r="H136" s="40"/>
    </row>
    <row r="140" spans="1:8" x14ac:dyDescent="0.35">
      <c r="A140" s="51" t="s">
        <v>2</v>
      </c>
      <c r="B140" s="38" t="s">
        <v>0</v>
      </c>
      <c r="C140" s="2" t="s">
        <v>1</v>
      </c>
      <c r="D140" s="38" t="s">
        <v>15</v>
      </c>
      <c r="E140" s="38" t="s">
        <v>4</v>
      </c>
      <c r="F140" s="38" t="s">
        <v>3</v>
      </c>
      <c r="G140" s="38" t="s">
        <v>5</v>
      </c>
      <c r="H140" s="2" t="s">
        <v>16</v>
      </c>
    </row>
    <row r="141" spans="1:8" ht="16.8" x14ac:dyDescent="0.4">
      <c r="A141" s="51"/>
      <c r="B141" s="12">
        <v>1</v>
      </c>
      <c r="C141" s="11" t="s">
        <v>6</v>
      </c>
      <c r="D141" s="39"/>
      <c r="E141" s="24">
        <f>M169</f>
        <v>0</v>
      </c>
      <c r="F141" s="13" t="str">
        <f>IF(OR(ISBLANK(D141),ISBLANK(E141)),"",D141-E141)</f>
        <v/>
      </c>
      <c r="G141" s="13" t="str">
        <f>IF(OR(ISBLANK(D141),ISBLANK(E141)),"",(E141/D141)*100)</f>
        <v/>
      </c>
      <c r="H141" s="40"/>
    </row>
    <row r="142" spans="1:8" ht="16.8" x14ac:dyDescent="0.4">
      <c r="A142" s="52" t="s">
        <v>84</v>
      </c>
      <c r="B142" s="12">
        <v>2</v>
      </c>
      <c r="C142" s="11" t="s">
        <v>7</v>
      </c>
      <c r="D142" s="39"/>
      <c r="E142" s="24">
        <f>N169</f>
        <v>0</v>
      </c>
      <c r="F142" s="13" t="str">
        <f t="shared" ref="F142:F158" si="12">IF(OR(ISBLANK(D142),ISBLANK(E142)),"",D142-E142)</f>
        <v/>
      </c>
      <c r="G142" s="13" t="str">
        <f t="shared" ref="G142:G158" si="13">IF(OR(ISBLANK(D142),ISBLANK(E142)),"",(E142/D142)*100)</f>
        <v/>
      </c>
      <c r="H142" s="40"/>
    </row>
    <row r="143" spans="1:8" ht="16.8" x14ac:dyDescent="0.4">
      <c r="A143" s="52"/>
      <c r="B143" s="12">
        <v>3</v>
      </c>
      <c r="C143" s="11" t="s">
        <v>8</v>
      </c>
      <c r="D143" s="12"/>
      <c r="E143" s="12"/>
      <c r="F143" s="12" t="str">
        <f t="shared" si="12"/>
        <v/>
      </c>
      <c r="G143" s="13" t="str">
        <f t="shared" si="13"/>
        <v/>
      </c>
      <c r="H143" s="40"/>
    </row>
    <row r="144" spans="1:8" ht="16.8" x14ac:dyDescent="0.4">
      <c r="A144" s="52"/>
      <c r="B144" s="12">
        <v>4</v>
      </c>
      <c r="C144" s="11" t="s">
        <v>17</v>
      </c>
      <c r="D144" s="12"/>
      <c r="E144" s="12"/>
      <c r="F144" s="12" t="str">
        <f t="shared" si="12"/>
        <v/>
      </c>
      <c r="G144" s="13" t="str">
        <f t="shared" si="13"/>
        <v/>
      </c>
      <c r="H144" s="40"/>
    </row>
    <row r="145" spans="1:8" ht="16.8" x14ac:dyDescent="0.4">
      <c r="A145" s="52"/>
      <c r="B145" s="12">
        <v>5</v>
      </c>
      <c r="C145" s="11" t="s">
        <v>9</v>
      </c>
      <c r="D145" s="12"/>
      <c r="E145" s="12"/>
      <c r="F145" s="12" t="str">
        <f t="shared" si="12"/>
        <v/>
      </c>
      <c r="G145" s="13" t="str">
        <f t="shared" si="13"/>
        <v/>
      </c>
      <c r="H145" s="40"/>
    </row>
    <row r="146" spans="1:8" ht="16.8" x14ac:dyDescent="0.4">
      <c r="A146" s="52"/>
      <c r="B146" s="12">
        <v>6</v>
      </c>
      <c r="C146" s="11" t="s">
        <v>18</v>
      </c>
      <c r="D146" s="12"/>
      <c r="E146" s="12"/>
      <c r="F146" s="12" t="str">
        <f t="shared" si="12"/>
        <v/>
      </c>
      <c r="G146" s="13" t="str">
        <f t="shared" si="13"/>
        <v/>
      </c>
      <c r="H146" s="40"/>
    </row>
    <row r="147" spans="1:8" ht="16.8" x14ac:dyDescent="0.4">
      <c r="A147" s="52"/>
      <c r="B147" s="12">
        <v>7</v>
      </c>
      <c r="C147" s="11" t="s">
        <v>10</v>
      </c>
      <c r="D147" s="12"/>
      <c r="E147" s="12"/>
      <c r="F147" s="12" t="str">
        <f t="shared" si="12"/>
        <v/>
      </c>
      <c r="G147" s="13" t="str">
        <f t="shared" si="13"/>
        <v/>
      </c>
      <c r="H147" s="40"/>
    </row>
    <row r="148" spans="1:8" ht="16.8" x14ac:dyDescent="0.4">
      <c r="A148" s="52"/>
      <c r="B148" s="12">
        <v>8</v>
      </c>
      <c r="C148" s="11" t="s">
        <v>11</v>
      </c>
      <c r="D148" s="12"/>
      <c r="E148" s="12"/>
      <c r="F148" s="12" t="str">
        <f t="shared" si="12"/>
        <v/>
      </c>
      <c r="G148" s="13" t="str">
        <f t="shared" si="13"/>
        <v/>
      </c>
      <c r="H148" s="40"/>
    </row>
    <row r="149" spans="1:8" ht="16.8" x14ac:dyDescent="0.4">
      <c r="A149" s="52"/>
      <c r="B149" s="12">
        <v>9</v>
      </c>
      <c r="C149" s="11" t="s">
        <v>19</v>
      </c>
      <c r="D149" s="12"/>
      <c r="E149" s="12"/>
      <c r="F149" s="12" t="str">
        <f t="shared" si="12"/>
        <v/>
      </c>
      <c r="G149" s="13" t="str">
        <f t="shared" si="13"/>
        <v/>
      </c>
      <c r="H149" s="40"/>
    </row>
    <row r="150" spans="1:8" ht="16.8" x14ac:dyDescent="0.4">
      <c r="A150" s="52"/>
      <c r="B150" s="12">
        <v>10</v>
      </c>
      <c r="C150" s="11" t="s">
        <v>12</v>
      </c>
      <c r="D150" s="40"/>
      <c r="E150" s="12"/>
      <c r="F150" s="12" t="str">
        <f t="shared" si="12"/>
        <v/>
      </c>
      <c r="G150" s="13" t="str">
        <f t="shared" si="13"/>
        <v/>
      </c>
      <c r="H150" s="40"/>
    </row>
    <row r="151" spans="1:8" ht="16.8" x14ac:dyDescent="0.4">
      <c r="A151" s="52"/>
      <c r="B151" s="12">
        <v>11</v>
      </c>
      <c r="C151" s="11" t="s">
        <v>13</v>
      </c>
      <c r="D151" s="40"/>
      <c r="E151" s="12"/>
      <c r="F151" s="12" t="str">
        <f t="shared" si="12"/>
        <v/>
      </c>
      <c r="G151" s="13" t="str">
        <f t="shared" si="13"/>
        <v/>
      </c>
      <c r="H151" s="40"/>
    </row>
    <row r="152" spans="1:8" ht="16.8" x14ac:dyDescent="0.4">
      <c r="A152" s="52"/>
      <c r="B152" s="12">
        <v>12</v>
      </c>
      <c r="C152" s="11" t="s">
        <v>20</v>
      </c>
      <c r="D152" s="40"/>
      <c r="E152" s="12"/>
      <c r="F152" s="12" t="str">
        <f t="shared" si="12"/>
        <v/>
      </c>
      <c r="G152" s="13" t="str">
        <f t="shared" si="13"/>
        <v/>
      </c>
      <c r="H152" s="40"/>
    </row>
    <row r="153" spans="1:8" ht="16.8" x14ac:dyDescent="0.4">
      <c r="A153" s="52"/>
      <c r="B153" s="12">
        <v>13</v>
      </c>
      <c r="C153" s="11" t="s">
        <v>21</v>
      </c>
      <c r="D153" s="40"/>
      <c r="E153" s="12"/>
      <c r="F153" s="12" t="str">
        <f t="shared" si="12"/>
        <v/>
      </c>
      <c r="G153" s="13" t="str">
        <f t="shared" si="13"/>
        <v/>
      </c>
      <c r="H153" s="40"/>
    </row>
    <row r="154" spans="1:8" ht="16.8" x14ac:dyDescent="0.4">
      <c r="A154" s="52"/>
      <c r="B154" s="12">
        <v>14</v>
      </c>
      <c r="C154" s="11" t="s">
        <v>14</v>
      </c>
      <c r="D154" s="39"/>
      <c r="E154" s="24" cm="1">
        <f t="array" aca="1" ref="E154" ca="1">HoldingApprovalTable[অনুমোদনের হার]</f>
        <v>71.428571428571431</v>
      </c>
      <c r="F154" s="13" t="str">
        <f ca="1">IF(OR(ISBLANK(D154),ISBLANK(E154)),"",D154-E154)</f>
        <v/>
      </c>
      <c r="G154" s="13" t="str">
        <f ca="1">IF(OR(ISBLANK(D154),ISBLANK(E154)),"",(E154/D154)*100)</f>
        <v/>
      </c>
      <c r="H154" s="40"/>
    </row>
    <row r="155" spans="1:8" ht="16.8" x14ac:dyDescent="0.4">
      <c r="A155" s="52"/>
      <c r="B155" s="12">
        <v>15</v>
      </c>
      <c r="C155" s="11" t="s">
        <v>22</v>
      </c>
      <c r="D155" s="40"/>
      <c r="E155" s="12"/>
      <c r="F155" s="12" t="str">
        <f t="shared" si="12"/>
        <v/>
      </c>
      <c r="G155" s="13" t="str">
        <f t="shared" si="13"/>
        <v/>
      </c>
      <c r="H155" s="40"/>
    </row>
    <row r="156" spans="1:8" ht="16.8" x14ac:dyDescent="0.4">
      <c r="A156" s="52"/>
      <c r="B156" s="12">
        <v>16</v>
      </c>
      <c r="C156" s="11" t="s">
        <v>23</v>
      </c>
      <c r="D156" s="40"/>
      <c r="E156" s="12"/>
      <c r="F156" s="12" t="str">
        <f t="shared" si="12"/>
        <v/>
      </c>
      <c r="G156" s="13" t="str">
        <f t="shared" si="13"/>
        <v/>
      </c>
      <c r="H156" s="40"/>
    </row>
    <row r="157" spans="1:8" ht="16.8" x14ac:dyDescent="0.4">
      <c r="A157" s="52"/>
      <c r="B157" s="12">
        <v>17</v>
      </c>
      <c r="C157" s="11" t="s">
        <v>39</v>
      </c>
      <c r="D157" s="40"/>
      <c r="E157" s="12"/>
      <c r="F157" s="12" t="str">
        <f t="shared" si="12"/>
        <v/>
      </c>
      <c r="G157" s="13" t="str">
        <f t="shared" si="13"/>
        <v/>
      </c>
      <c r="H157" s="40"/>
    </row>
    <row r="158" spans="1:8" ht="16.8" x14ac:dyDescent="0.4">
      <c r="A158" s="53"/>
      <c r="B158" s="18">
        <v>18</v>
      </c>
      <c r="C158" s="16" t="s">
        <v>40</v>
      </c>
      <c r="D158" s="45"/>
      <c r="E158" s="18"/>
      <c r="F158" s="18" t="str">
        <f t="shared" si="12"/>
        <v/>
      </c>
      <c r="G158" s="19" t="str">
        <f t="shared" si="13"/>
        <v/>
      </c>
      <c r="H158" s="45"/>
    </row>
    <row r="159" spans="1:8" ht="16.8" x14ac:dyDescent="0.4">
      <c r="A159" s="46"/>
      <c r="B159" s="40"/>
      <c r="C159" s="9" t="s">
        <v>36</v>
      </c>
      <c r="D159" s="20" t="str">
        <f>IF(COUNTIF(D141:D158,"")=18,"",SUM(D141:D158))</f>
        <v/>
      </c>
      <c r="E159" s="20">
        <f ca="1">IF(COUNTIF(E141:E158,"")=18,"",SUM(E141:E158))</f>
        <v>71.428571428571431</v>
      </c>
      <c r="F159" s="20" t="str">
        <f ca="1">IF(COUNTIF(F141:F158,"")=18,"",SUM(F141:F158))</f>
        <v/>
      </c>
      <c r="G159" s="21" t="str">
        <f ca="1">IF(COUNTIF(G141:G158,"")=18,"",SUM(G141:G158)/(COUNTA(G141:G158)-COUNTBLANK(G141:G158)))</f>
        <v/>
      </c>
      <c r="H159" s="40"/>
    </row>
    <row r="163" spans="1:8" x14ac:dyDescent="0.35">
      <c r="A163" s="51" t="s">
        <v>2</v>
      </c>
      <c r="B163" s="38" t="s">
        <v>0</v>
      </c>
      <c r="C163" s="2" t="s">
        <v>1</v>
      </c>
      <c r="D163" s="38" t="s">
        <v>15</v>
      </c>
      <c r="E163" s="38" t="s">
        <v>4</v>
      </c>
      <c r="F163" s="38" t="s">
        <v>3</v>
      </c>
      <c r="G163" s="38" t="s">
        <v>5</v>
      </c>
      <c r="H163" s="2" t="s">
        <v>16</v>
      </c>
    </row>
    <row r="164" spans="1:8" ht="16.8" x14ac:dyDescent="0.4">
      <c r="A164" s="51"/>
      <c r="B164" s="12">
        <v>1</v>
      </c>
      <c r="C164" s="11" t="s">
        <v>6</v>
      </c>
      <c r="D164" s="39"/>
      <c r="E164" s="24">
        <f>M192</f>
        <v>0</v>
      </c>
      <c r="F164" s="13" t="str">
        <f>IF(OR(ISBLANK(D164),ISBLANK(E164)),"",D164-E164)</f>
        <v/>
      </c>
      <c r="G164" s="13" t="str">
        <f>IF(OR(ISBLANK(D164),ISBLANK(E164)),"",(E164/D164)*100)</f>
        <v/>
      </c>
      <c r="H164" s="40"/>
    </row>
    <row r="165" spans="1:8" ht="16.8" x14ac:dyDescent="0.4">
      <c r="A165" s="52" t="s">
        <v>85</v>
      </c>
      <c r="B165" s="12">
        <v>2</v>
      </c>
      <c r="C165" s="11" t="s">
        <v>7</v>
      </c>
      <c r="D165" s="39"/>
      <c r="E165" s="24">
        <f>N192</f>
        <v>0</v>
      </c>
      <c r="F165" s="13" t="str">
        <f t="shared" ref="F165:F181" si="14">IF(OR(ISBLANK(D165),ISBLANK(E165)),"",D165-E165)</f>
        <v/>
      </c>
      <c r="G165" s="13" t="str">
        <f t="shared" ref="G165:G181" si="15">IF(OR(ISBLANK(D165),ISBLANK(E165)),"",(E165/D165)*100)</f>
        <v/>
      </c>
      <c r="H165" s="40"/>
    </row>
    <row r="166" spans="1:8" ht="16.8" x14ac:dyDescent="0.4">
      <c r="A166" s="52"/>
      <c r="B166" s="12">
        <v>3</v>
      </c>
      <c r="C166" s="11" t="s">
        <v>8</v>
      </c>
      <c r="D166" s="12"/>
      <c r="E166" s="12"/>
      <c r="F166" s="12" t="str">
        <f t="shared" si="14"/>
        <v/>
      </c>
      <c r="G166" s="13" t="str">
        <f t="shared" si="15"/>
        <v/>
      </c>
      <c r="H166" s="40"/>
    </row>
    <row r="167" spans="1:8" ht="16.8" x14ac:dyDescent="0.4">
      <c r="A167" s="52"/>
      <c r="B167" s="12">
        <v>4</v>
      </c>
      <c r="C167" s="11" t="s">
        <v>17</v>
      </c>
      <c r="D167" s="12"/>
      <c r="E167" s="12"/>
      <c r="F167" s="12" t="str">
        <f t="shared" si="14"/>
        <v/>
      </c>
      <c r="G167" s="13" t="str">
        <f t="shared" si="15"/>
        <v/>
      </c>
      <c r="H167" s="40"/>
    </row>
    <row r="168" spans="1:8" ht="16.8" x14ac:dyDescent="0.4">
      <c r="A168" s="52"/>
      <c r="B168" s="12">
        <v>5</v>
      </c>
      <c r="C168" s="11" t="s">
        <v>9</v>
      </c>
      <c r="D168" s="12"/>
      <c r="E168" s="12"/>
      <c r="F168" s="12" t="str">
        <f t="shared" si="14"/>
        <v/>
      </c>
      <c r="G168" s="13" t="str">
        <f t="shared" si="15"/>
        <v/>
      </c>
      <c r="H168" s="40"/>
    </row>
    <row r="169" spans="1:8" ht="16.8" x14ac:dyDescent="0.4">
      <c r="A169" s="52"/>
      <c r="B169" s="12">
        <v>6</v>
      </c>
      <c r="C169" s="11" t="s">
        <v>18</v>
      </c>
      <c r="D169" s="12"/>
      <c r="E169" s="12"/>
      <c r="F169" s="12" t="str">
        <f t="shared" si="14"/>
        <v/>
      </c>
      <c r="G169" s="13" t="str">
        <f t="shared" si="15"/>
        <v/>
      </c>
      <c r="H169" s="40"/>
    </row>
    <row r="170" spans="1:8" ht="16.8" x14ac:dyDescent="0.4">
      <c r="A170" s="52"/>
      <c r="B170" s="12">
        <v>7</v>
      </c>
      <c r="C170" s="11" t="s">
        <v>10</v>
      </c>
      <c r="D170" s="12"/>
      <c r="E170" s="12"/>
      <c r="F170" s="12" t="str">
        <f t="shared" si="14"/>
        <v/>
      </c>
      <c r="G170" s="13" t="str">
        <f t="shared" si="15"/>
        <v/>
      </c>
      <c r="H170" s="40"/>
    </row>
    <row r="171" spans="1:8" ht="16.8" x14ac:dyDescent="0.4">
      <c r="A171" s="52"/>
      <c r="B171" s="12">
        <v>8</v>
      </c>
      <c r="C171" s="11" t="s">
        <v>11</v>
      </c>
      <c r="D171" s="12"/>
      <c r="E171" s="12"/>
      <c r="F171" s="12" t="str">
        <f t="shared" si="14"/>
        <v/>
      </c>
      <c r="G171" s="13" t="str">
        <f t="shared" si="15"/>
        <v/>
      </c>
      <c r="H171" s="40"/>
    </row>
    <row r="172" spans="1:8" ht="16.8" x14ac:dyDescent="0.4">
      <c r="A172" s="52"/>
      <c r="B172" s="12">
        <v>9</v>
      </c>
      <c r="C172" s="11" t="s">
        <v>19</v>
      </c>
      <c r="D172" s="12"/>
      <c r="E172" s="12"/>
      <c r="F172" s="12" t="str">
        <f t="shared" si="14"/>
        <v/>
      </c>
      <c r="G172" s="13" t="str">
        <f t="shared" si="15"/>
        <v/>
      </c>
      <c r="H172" s="40"/>
    </row>
    <row r="173" spans="1:8" ht="16.8" x14ac:dyDescent="0.4">
      <c r="A173" s="52"/>
      <c r="B173" s="12">
        <v>10</v>
      </c>
      <c r="C173" s="11" t="s">
        <v>12</v>
      </c>
      <c r="D173" s="40"/>
      <c r="E173" s="12"/>
      <c r="F173" s="12" t="str">
        <f t="shared" si="14"/>
        <v/>
      </c>
      <c r="G173" s="13" t="str">
        <f t="shared" si="15"/>
        <v/>
      </c>
      <c r="H173" s="40"/>
    </row>
    <row r="174" spans="1:8" ht="16.8" x14ac:dyDescent="0.4">
      <c r="A174" s="52"/>
      <c r="B174" s="12">
        <v>11</v>
      </c>
      <c r="C174" s="11" t="s">
        <v>13</v>
      </c>
      <c r="D174" s="40"/>
      <c r="E174" s="12"/>
      <c r="F174" s="12" t="str">
        <f t="shared" si="14"/>
        <v/>
      </c>
      <c r="G174" s="13" t="str">
        <f t="shared" si="15"/>
        <v/>
      </c>
      <c r="H174" s="40"/>
    </row>
    <row r="175" spans="1:8" ht="16.8" x14ac:dyDescent="0.4">
      <c r="A175" s="52"/>
      <c r="B175" s="12">
        <v>12</v>
      </c>
      <c r="C175" s="11" t="s">
        <v>20</v>
      </c>
      <c r="D175" s="40"/>
      <c r="E175" s="12"/>
      <c r="F175" s="12" t="str">
        <f t="shared" si="14"/>
        <v/>
      </c>
      <c r="G175" s="13" t="str">
        <f t="shared" si="15"/>
        <v/>
      </c>
      <c r="H175" s="40"/>
    </row>
    <row r="176" spans="1:8" ht="16.8" x14ac:dyDescent="0.4">
      <c r="A176" s="52"/>
      <c r="B176" s="12">
        <v>13</v>
      </c>
      <c r="C176" s="11" t="s">
        <v>21</v>
      </c>
      <c r="D176" s="40"/>
      <c r="E176" s="12"/>
      <c r="F176" s="12" t="str">
        <f t="shared" si="14"/>
        <v/>
      </c>
      <c r="G176" s="13" t="str">
        <f t="shared" si="15"/>
        <v/>
      </c>
      <c r="H176" s="40"/>
    </row>
    <row r="177" spans="1:8" ht="16.8" x14ac:dyDescent="0.4">
      <c r="A177" s="52"/>
      <c r="B177" s="12">
        <v>14</v>
      </c>
      <c r="C177" s="11" t="s">
        <v>14</v>
      </c>
      <c r="D177" s="39"/>
      <c r="E177" s="24" cm="1">
        <f t="array" aca="1" ref="E177" ca="1">HoldingApprovalTable[অনুমোদনের হার]</f>
        <v>71.428571428571431</v>
      </c>
      <c r="F177" s="13" t="str">
        <f ca="1">IF(OR(ISBLANK(D177),ISBLANK(E177)),"",D177-E177)</f>
        <v/>
      </c>
      <c r="G177" s="13" t="str">
        <f ca="1">IF(OR(ISBLANK(D177),ISBLANK(E177)),"",(E177/D177)*100)</f>
        <v/>
      </c>
      <c r="H177" s="40"/>
    </row>
    <row r="178" spans="1:8" ht="16.8" x14ac:dyDescent="0.4">
      <c r="A178" s="52"/>
      <c r="B178" s="12">
        <v>15</v>
      </c>
      <c r="C178" s="11" t="s">
        <v>22</v>
      </c>
      <c r="D178" s="40"/>
      <c r="E178" s="12"/>
      <c r="F178" s="12" t="str">
        <f t="shared" si="14"/>
        <v/>
      </c>
      <c r="G178" s="13" t="str">
        <f t="shared" si="15"/>
        <v/>
      </c>
      <c r="H178" s="40"/>
    </row>
    <row r="179" spans="1:8" ht="16.8" x14ac:dyDescent="0.4">
      <c r="A179" s="52"/>
      <c r="B179" s="12">
        <v>16</v>
      </c>
      <c r="C179" s="11" t="s">
        <v>23</v>
      </c>
      <c r="D179" s="40"/>
      <c r="E179" s="12"/>
      <c r="F179" s="12" t="str">
        <f t="shared" si="14"/>
        <v/>
      </c>
      <c r="G179" s="13" t="str">
        <f t="shared" si="15"/>
        <v/>
      </c>
      <c r="H179" s="40"/>
    </row>
    <row r="180" spans="1:8" ht="16.8" x14ac:dyDescent="0.4">
      <c r="A180" s="52"/>
      <c r="B180" s="12">
        <v>17</v>
      </c>
      <c r="C180" s="11" t="s">
        <v>39</v>
      </c>
      <c r="D180" s="40"/>
      <c r="E180" s="12"/>
      <c r="F180" s="12" t="str">
        <f t="shared" si="14"/>
        <v/>
      </c>
      <c r="G180" s="13" t="str">
        <f t="shared" si="15"/>
        <v/>
      </c>
      <c r="H180" s="40"/>
    </row>
    <row r="181" spans="1:8" ht="16.8" x14ac:dyDescent="0.4">
      <c r="A181" s="53"/>
      <c r="B181" s="18">
        <v>18</v>
      </c>
      <c r="C181" s="16" t="s">
        <v>40</v>
      </c>
      <c r="D181" s="45"/>
      <c r="E181" s="18"/>
      <c r="F181" s="18" t="str">
        <f t="shared" si="14"/>
        <v/>
      </c>
      <c r="G181" s="19" t="str">
        <f t="shared" si="15"/>
        <v/>
      </c>
      <c r="H181" s="45"/>
    </row>
    <row r="182" spans="1:8" ht="16.8" x14ac:dyDescent="0.4">
      <c r="A182" s="46"/>
      <c r="B182" s="40"/>
      <c r="C182" s="9" t="s">
        <v>36</v>
      </c>
      <c r="D182" s="20" t="str">
        <f>IF(COUNTIF(D164:D181,"")=18,"",SUM(D164:D181))</f>
        <v/>
      </c>
      <c r="E182" s="20">
        <f ca="1">IF(COUNTIF(E164:E181,"")=18,"",SUM(E164:E181))</f>
        <v>71.428571428571431</v>
      </c>
      <c r="F182" s="20" t="str">
        <f ca="1">IF(COUNTIF(F164:F181,"")=18,"",SUM(F164:F181))</f>
        <v/>
      </c>
      <c r="G182" s="21" t="str">
        <f ca="1">IF(COUNTIF(G164:G181,"")=18,"",SUM(G164:G181)/(COUNTA(G164:G181)-COUNTBLANK(G164:G181)))</f>
        <v/>
      </c>
      <c r="H182" s="40"/>
    </row>
    <row r="186" spans="1:8" x14ac:dyDescent="0.35">
      <c r="A186" s="51" t="s">
        <v>2</v>
      </c>
      <c r="B186" s="38" t="s">
        <v>0</v>
      </c>
      <c r="C186" s="2" t="s">
        <v>1</v>
      </c>
      <c r="D186" s="38" t="s">
        <v>15</v>
      </c>
      <c r="E186" s="38" t="s">
        <v>4</v>
      </c>
      <c r="F186" s="38" t="s">
        <v>3</v>
      </c>
      <c r="G186" s="38" t="s">
        <v>5</v>
      </c>
      <c r="H186" s="2" t="s">
        <v>16</v>
      </c>
    </row>
    <row r="187" spans="1:8" ht="16.8" x14ac:dyDescent="0.4">
      <c r="A187" s="51"/>
      <c r="B187" s="12">
        <v>1</v>
      </c>
      <c r="C187" s="11" t="s">
        <v>6</v>
      </c>
      <c r="D187" s="39"/>
      <c r="E187" s="24">
        <f>M215</f>
        <v>0</v>
      </c>
      <c r="F187" s="13" t="str">
        <f>IF(OR(ISBLANK(D187),ISBLANK(E187)),"",D187-E187)</f>
        <v/>
      </c>
      <c r="G187" s="13" t="str">
        <f>IF(OR(ISBLANK(D187),ISBLANK(E187)),"",(E187/D187)*100)</f>
        <v/>
      </c>
      <c r="H187" s="40"/>
    </row>
    <row r="188" spans="1:8" ht="16.8" x14ac:dyDescent="0.4">
      <c r="A188" s="52" t="s">
        <v>86</v>
      </c>
      <c r="B188" s="12">
        <v>2</v>
      </c>
      <c r="C188" s="11" t="s">
        <v>7</v>
      </c>
      <c r="D188" s="39"/>
      <c r="E188" s="24">
        <f>N215</f>
        <v>0</v>
      </c>
      <c r="F188" s="13" t="str">
        <f t="shared" ref="F188:F204" si="16">IF(OR(ISBLANK(D188),ISBLANK(E188)),"",D188-E188)</f>
        <v/>
      </c>
      <c r="G188" s="13" t="str">
        <f t="shared" ref="G188:G204" si="17">IF(OR(ISBLANK(D188),ISBLANK(E188)),"",(E188/D188)*100)</f>
        <v/>
      </c>
      <c r="H188" s="40"/>
    </row>
    <row r="189" spans="1:8" ht="16.8" x14ac:dyDescent="0.4">
      <c r="A189" s="52"/>
      <c r="B189" s="12">
        <v>3</v>
      </c>
      <c r="C189" s="11" t="s">
        <v>8</v>
      </c>
      <c r="D189" s="12"/>
      <c r="E189" s="12"/>
      <c r="F189" s="12" t="str">
        <f t="shared" si="16"/>
        <v/>
      </c>
      <c r="G189" s="13" t="str">
        <f t="shared" si="17"/>
        <v/>
      </c>
      <c r="H189" s="40"/>
    </row>
    <row r="190" spans="1:8" ht="16.8" x14ac:dyDescent="0.4">
      <c r="A190" s="52"/>
      <c r="B190" s="12">
        <v>4</v>
      </c>
      <c r="C190" s="11" t="s">
        <v>17</v>
      </c>
      <c r="D190" s="12"/>
      <c r="E190" s="12"/>
      <c r="F190" s="12" t="str">
        <f t="shared" si="16"/>
        <v/>
      </c>
      <c r="G190" s="13" t="str">
        <f t="shared" si="17"/>
        <v/>
      </c>
      <c r="H190" s="40"/>
    </row>
    <row r="191" spans="1:8" ht="16.8" x14ac:dyDescent="0.4">
      <c r="A191" s="52"/>
      <c r="B191" s="12">
        <v>5</v>
      </c>
      <c r="C191" s="11" t="s">
        <v>9</v>
      </c>
      <c r="D191" s="12"/>
      <c r="E191" s="12"/>
      <c r="F191" s="12" t="str">
        <f t="shared" si="16"/>
        <v/>
      </c>
      <c r="G191" s="13" t="str">
        <f t="shared" si="17"/>
        <v/>
      </c>
      <c r="H191" s="40"/>
    </row>
    <row r="192" spans="1:8" ht="16.8" x14ac:dyDescent="0.4">
      <c r="A192" s="52"/>
      <c r="B192" s="12">
        <v>6</v>
      </c>
      <c r="C192" s="11" t="s">
        <v>18</v>
      </c>
      <c r="D192" s="12"/>
      <c r="E192" s="12"/>
      <c r="F192" s="12" t="str">
        <f t="shared" si="16"/>
        <v/>
      </c>
      <c r="G192" s="13" t="str">
        <f t="shared" si="17"/>
        <v/>
      </c>
      <c r="H192" s="40"/>
    </row>
    <row r="193" spans="1:8" ht="16.8" x14ac:dyDescent="0.4">
      <c r="A193" s="52"/>
      <c r="B193" s="12">
        <v>7</v>
      </c>
      <c r="C193" s="11" t="s">
        <v>10</v>
      </c>
      <c r="D193" s="12"/>
      <c r="E193" s="12"/>
      <c r="F193" s="12" t="str">
        <f t="shared" si="16"/>
        <v/>
      </c>
      <c r="G193" s="13" t="str">
        <f t="shared" si="17"/>
        <v/>
      </c>
      <c r="H193" s="40"/>
    </row>
    <row r="194" spans="1:8" ht="16.8" x14ac:dyDescent="0.4">
      <c r="A194" s="52"/>
      <c r="B194" s="12">
        <v>8</v>
      </c>
      <c r="C194" s="11" t="s">
        <v>11</v>
      </c>
      <c r="D194" s="12"/>
      <c r="E194" s="12"/>
      <c r="F194" s="12" t="str">
        <f t="shared" si="16"/>
        <v/>
      </c>
      <c r="G194" s="13" t="str">
        <f t="shared" si="17"/>
        <v/>
      </c>
      <c r="H194" s="40"/>
    </row>
    <row r="195" spans="1:8" ht="16.8" x14ac:dyDescent="0.4">
      <c r="A195" s="52"/>
      <c r="B195" s="12">
        <v>9</v>
      </c>
      <c r="C195" s="11" t="s">
        <v>19</v>
      </c>
      <c r="D195" s="12"/>
      <c r="E195" s="12"/>
      <c r="F195" s="12" t="str">
        <f t="shared" si="16"/>
        <v/>
      </c>
      <c r="G195" s="13" t="str">
        <f t="shared" si="17"/>
        <v/>
      </c>
      <c r="H195" s="40"/>
    </row>
    <row r="196" spans="1:8" ht="16.8" x14ac:dyDescent="0.4">
      <c r="A196" s="52"/>
      <c r="B196" s="12">
        <v>10</v>
      </c>
      <c r="C196" s="11" t="s">
        <v>12</v>
      </c>
      <c r="D196" s="40"/>
      <c r="E196" s="12"/>
      <c r="F196" s="12" t="str">
        <f t="shared" si="16"/>
        <v/>
      </c>
      <c r="G196" s="13" t="str">
        <f t="shared" si="17"/>
        <v/>
      </c>
      <c r="H196" s="40"/>
    </row>
    <row r="197" spans="1:8" ht="16.8" x14ac:dyDescent="0.4">
      <c r="A197" s="52"/>
      <c r="B197" s="12">
        <v>11</v>
      </c>
      <c r="C197" s="11" t="s">
        <v>13</v>
      </c>
      <c r="D197" s="40"/>
      <c r="E197" s="12"/>
      <c r="F197" s="12" t="str">
        <f t="shared" si="16"/>
        <v/>
      </c>
      <c r="G197" s="13" t="str">
        <f t="shared" si="17"/>
        <v/>
      </c>
      <c r="H197" s="40"/>
    </row>
    <row r="198" spans="1:8" ht="16.8" x14ac:dyDescent="0.4">
      <c r="A198" s="52"/>
      <c r="B198" s="12">
        <v>12</v>
      </c>
      <c r="C198" s="11" t="s">
        <v>20</v>
      </c>
      <c r="D198" s="40"/>
      <c r="E198" s="12"/>
      <c r="F198" s="12" t="str">
        <f t="shared" si="16"/>
        <v/>
      </c>
      <c r="G198" s="13" t="str">
        <f t="shared" si="17"/>
        <v/>
      </c>
      <c r="H198" s="40"/>
    </row>
    <row r="199" spans="1:8" ht="16.8" x14ac:dyDescent="0.4">
      <c r="A199" s="52"/>
      <c r="B199" s="12">
        <v>13</v>
      </c>
      <c r="C199" s="11" t="s">
        <v>21</v>
      </c>
      <c r="D199" s="40"/>
      <c r="E199" s="12"/>
      <c r="F199" s="12" t="str">
        <f t="shared" si="16"/>
        <v/>
      </c>
      <c r="G199" s="13" t="str">
        <f t="shared" si="17"/>
        <v/>
      </c>
      <c r="H199" s="40"/>
    </row>
    <row r="200" spans="1:8" ht="16.8" x14ac:dyDescent="0.4">
      <c r="A200" s="52"/>
      <c r="B200" s="12">
        <v>14</v>
      </c>
      <c r="C200" s="11" t="s">
        <v>14</v>
      </c>
      <c r="D200" s="39"/>
      <c r="E200" s="24" cm="1">
        <f t="array" aca="1" ref="E200" ca="1">HoldingApprovalTable[অনুমোদনের হার]</f>
        <v>71.428571428571431</v>
      </c>
      <c r="F200" s="13" t="str">
        <f ca="1">IF(OR(ISBLANK(D200),ISBLANK(E200)),"",D200-E200)</f>
        <v/>
      </c>
      <c r="G200" s="13" t="str">
        <f ca="1">IF(OR(ISBLANK(D200),ISBLANK(E200)),"",(E200/D200)*100)</f>
        <v/>
      </c>
      <c r="H200" s="40"/>
    </row>
    <row r="201" spans="1:8" ht="16.8" x14ac:dyDescent="0.4">
      <c r="A201" s="52"/>
      <c r="B201" s="12">
        <v>15</v>
      </c>
      <c r="C201" s="11" t="s">
        <v>22</v>
      </c>
      <c r="D201" s="40"/>
      <c r="E201" s="12"/>
      <c r="F201" s="12" t="str">
        <f t="shared" si="16"/>
        <v/>
      </c>
      <c r="G201" s="13" t="str">
        <f t="shared" si="17"/>
        <v/>
      </c>
      <c r="H201" s="40"/>
    </row>
    <row r="202" spans="1:8" ht="16.8" x14ac:dyDescent="0.4">
      <c r="A202" s="52"/>
      <c r="B202" s="12">
        <v>16</v>
      </c>
      <c r="C202" s="11" t="s">
        <v>23</v>
      </c>
      <c r="D202" s="40"/>
      <c r="E202" s="12"/>
      <c r="F202" s="12" t="str">
        <f t="shared" si="16"/>
        <v/>
      </c>
      <c r="G202" s="13" t="str">
        <f t="shared" si="17"/>
        <v/>
      </c>
      <c r="H202" s="40"/>
    </row>
    <row r="203" spans="1:8" ht="16.8" x14ac:dyDescent="0.4">
      <c r="A203" s="52"/>
      <c r="B203" s="12">
        <v>17</v>
      </c>
      <c r="C203" s="11" t="s">
        <v>39</v>
      </c>
      <c r="D203" s="40"/>
      <c r="E203" s="12"/>
      <c r="F203" s="12" t="str">
        <f t="shared" si="16"/>
        <v/>
      </c>
      <c r="G203" s="13" t="str">
        <f t="shared" si="17"/>
        <v/>
      </c>
      <c r="H203" s="40"/>
    </row>
    <row r="204" spans="1:8" ht="16.8" x14ac:dyDescent="0.4">
      <c r="A204" s="53"/>
      <c r="B204" s="18">
        <v>18</v>
      </c>
      <c r="C204" s="16" t="s">
        <v>40</v>
      </c>
      <c r="D204" s="45"/>
      <c r="E204" s="18"/>
      <c r="F204" s="18" t="str">
        <f t="shared" si="16"/>
        <v/>
      </c>
      <c r="G204" s="19" t="str">
        <f t="shared" si="17"/>
        <v/>
      </c>
      <c r="H204" s="45"/>
    </row>
    <row r="205" spans="1:8" ht="16.8" x14ac:dyDescent="0.4">
      <c r="A205" s="46"/>
      <c r="B205" s="40"/>
      <c r="C205" s="9" t="s">
        <v>36</v>
      </c>
      <c r="D205" s="20" t="str">
        <f>IF(COUNTIF(D187:D204,"")=18,"",SUM(D187:D204))</f>
        <v/>
      </c>
      <c r="E205" s="20">
        <f ca="1">IF(COUNTIF(E187:E204,"")=18,"",SUM(E187:E204))</f>
        <v>71.428571428571431</v>
      </c>
      <c r="F205" s="20" t="str">
        <f ca="1">IF(COUNTIF(F187:F204,"")=18,"",SUM(F187:F204))</f>
        <v/>
      </c>
      <c r="G205" s="21" t="str">
        <f ca="1">IF(COUNTIF(G187:G204,"")=18,"",SUM(G187:G204)/(COUNTA(G187:G204)-COUNTBLANK(G187:G204)))</f>
        <v/>
      </c>
      <c r="H205" s="40"/>
    </row>
    <row r="209" spans="1:8" x14ac:dyDescent="0.35">
      <c r="A209" s="51" t="s">
        <v>2</v>
      </c>
      <c r="B209" s="38" t="s">
        <v>0</v>
      </c>
      <c r="C209" s="2" t="s">
        <v>1</v>
      </c>
      <c r="D209" s="38" t="s">
        <v>15</v>
      </c>
      <c r="E209" s="38" t="s">
        <v>4</v>
      </c>
      <c r="F209" s="38" t="s">
        <v>3</v>
      </c>
      <c r="G209" s="38" t="s">
        <v>5</v>
      </c>
      <c r="H209" s="2" t="s">
        <v>16</v>
      </c>
    </row>
    <row r="210" spans="1:8" ht="16.8" x14ac:dyDescent="0.4">
      <c r="A210" s="51"/>
      <c r="B210" s="12">
        <v>1</v>
      </c>
      <c r="C210" s="11" t="s">
        <v>6</v>
      </c>
      <c r="D210" s="39"/>
      <c r="E210" s="24">
        <f>M238</f>
        <v>0</v>
      </c>
      <c r="F210" s="13" t="str">
        <f>IF(OR(ISBLANK(D210),ISBLANK(E210)),"",D210-E210)</f>
        <v/>
      </c>
      <c r="G210" s="13" t="str">
        <f>IF(OR(ISBLANK(D210),ISBLANK(E210)),"",(E210/D210)*100)</f>
        <v/>
      </c>
      <c r="H210" s="40"/>
    </row>
    <row r="211" spans="1:8" ht="16.8" x14ac:dyDescent="0.4">
      <c r="A211" s="52" t="s">
        <v>87</v>
      </c>
      <c r="B211" s="12">
        <v>2</v>
      </c>
      <c r="C211" s="11" t="s">
        <v>7</v>
      </c>
      <c r="D211" s="39"/>
      <c r="E211" s="24">
        <f>N238</f>
        <v>0</v>
      </c>
      <c r="F211" s="13" t="str">
        <f t="shared" ref="F211:F227" si="18">IF(OR(ISBLANK(D211),ISBLANK(E211)),"",D211-E211)</f>
        <v/>
      </c>
      <c r="G211" s="13" t="str">
        <f t="shared" ref="G211:G227" si="19">IF(OR(ISBLANK(D211),ISBLANK(E211)),"",(E211/D211)*100)</f>
        <v/>
      </c>
      <c r="H211" s="40"/>
    </row>
    <row r="212" spans="1:8" ht="16.8" x14ac:dyDescent="0.4">
      <c r="A212" s="52"/>
      <c r="B212" s="12">
        <v>3</v>
      </c>
      <c r="C212" s="11" t="s">
        <v>8</v>
      </c>
      <c r="D212" s="12"/>
      <c r="E212" s="12"/>
      <c r="F212" s="12" t="str">
        <f t="shared" si="18"/>
        <v/>
      </c>
      <c r="G212" s="13" t="str">
        <f t="shared" si="19"/>
        <v/>
      </c>
      <c r="H212" s="40"/>
    </row>
    <row r="213" spans="1:8" ht="16.8" x14ac:dyDescent="0.4">
      <c r="A213" s="52"/>
      <c r="B213" s="12">
        <v>4</v>
      </c>
      <c r="C213" s="11" t="s">
        <v>17</v>
      </c>
      <c r="D213" s="12"/>
      <c r="E213" s="12"/>
      <c r="F213" s="12" t="str">
        <f t="shared" si="18"/>
        <v/>
      </c>
      <c r="G213" s="13" t="str">
        <f t="shared" si="19"/>
        <v/>
      </c>
      <c r="H213" s="40"/>
    </row>
    <row r="214" spans="1:8" ht="16.8" x14ac:dyDescent="0.4">
      <c r="A214" s="52"/>
      <c r="B214" s="12">
        <v>5</v>
      </c>
      <c r="C214" s="11" t="s">
        <v>9</v>
      </c>
      <c r="D214" s="12"/>
      <c r="E214" s="12"/>
      <c r="F214" s="12" t="str">
        <f t="shared" si="18"/>
        <v/>
      </c>
      <c r="G214" s="13" t="str">
        <f t="shared" si="19"/>
        <v/>
      </c>
      <c r="H214" s="40"/>
    </row>
    <row r="215" spans="1:8" ht="16.8" x14ac:dyDescent="0.4">
      <c r="A215" s="52"/>
      <c r="B215" s="12">
        <v>6</v>
      </c>
      <c r="C215" s="11" t="s">
        <v>18</v>
      </c>
      <c r="D215" s="12"/>
      <c r="E215" s="12"/>
      <c r="F215" s="12" t="str">
        <f t="shared" si="18"/>
        <v/>
      </c>
      <c r="G215" s="13" t="str">
        <f t="shared" si="19"/>
        <v/>
      </c>
      <c r="H215" s="40"/>
    </row>
    <row r="216" spans="1:8" ht="16.8" x14ac:dyDescent="0.4">
      <c r="A216" s="52"/>
      <c r="B216" s="12">
        <v>7</v>
      </c>
      <c r="C216" s="11" t="s">
        <v>10</v>
      </c>
      <c r="D216" s="12"/>
      <c r="E216" s="12"/>
      <c r="F216" s="12" t="str">
        <f t="shared" si="18"/>
        <v/>
      </c>
      <c r="G216" s="13" t="str">
        <f t="shared" si="19"/>
        <v/>
      </c>
      <c r="H216" s="40"/>
    </row>
    <row r="217" spans="1:8" ht="16.8" x14ac:dyDescent="0.4">
      <c r="A217" s="52"/>
      <c r="B217" s="12">
        <v>8</v>
      </c>
      <c r="C217" s="11" t="s">
        <v>11</v>
      </c>
      <c r="D217" s="12"/>
      <c r="E217" s="12"/>
      <c r="F217" s="12" t="str">
        <f t="shared" si="18"/>
        <v/>
      </c>
      <c r="G217" s="13" t="str">
        <f t="shared" si="19"/>
        <v/>
      </c>
      <c r="H217" s="40"/>
    </row>
    <row r="218" spans="1:8" ht="16.8" x14ac:dyDescent="0.4">
      <c r="A218" s="52"/>
      <c r="B218" s="12">
        <v>9</v>
      </c>
      <c r="C218" s="11" t="s">
        <v>19</v>
      </c>
      <c r="D218" s="12"/>
      <c r="E218" s="12"/>
      <c r="F218" s="12" t="str">
        <f t="shared" si="18"/>
        <v/>
      </c>
      <c r="G218" s="13" t="str">
        <f t="shared" si="19"/>
        <v/>
      </c>
      <c r="H218" s="40"/>
    </row>
    <row r="219" spans="1:8" ht="16.8" x14ac:dyDescent="0.4">
      <c r="A219" s="52"/>
      <c r="B219" s="12">
        <v>10</v>
      </c>
      <c r="C219" s="11" t="s">
        <v>12</v>
      </c>
      <c r="D219" s="40"/>
      <c r="E219" s="12"/>
      <c r="F219" s="12" t="str">
        <f t="shared" si="18"/>
        <v/>
      </c>
      <c r="G219" s="13" t="str">
        <f t="shared" si="19"/>
        <v/>
      </c>
      <c r="H219" s="40"/>
    </row>
    <row r="220" spans="1:8" ht="16.8" x14ac:dyDescent="0.4">
      <c r="A220" s="52"/>
      <c r="B220" s="12">
        <v>11</v>
      </c>
      <c r="C220" s="11" t="s">
        <v>13</v>
      </c>
      <c r="D220" s="40"/>
      <c r="E220" s="12"/>
      <c r="F220" s="12" t="str">
        <f t="shared" si="18"/>
        <v/>
      </c>
      <c r="G220" s="13" t="str">
        <f t="shared" si="19"/>
        <v/>
      </c>
      <c r="H220" s="40"/>
    </row>
    <row r="221" spans="1:8" ht="16.8" x14ac:dyDescent="0.4">
      <c r="A221" s="52"/>
      <c r="B221" s="12">
        <v>12</v>
      </c>
      <c r="C221" s="11" t="s">
        <v>20</v>
      </c>
      <c r="D221" s="40"/>
      <c r="E221" s="12"/>
      <c r="F221" s="12" t="str">
        <f t="shared" si="18"/>
        <v/>
      </c>
      <c r="G221" s="13" t="str">
        <f t="shared" si="19"/>
        <v/>
      </c>
      <c r="H221" s="40"/>
    </row>
    <row r="222" spans="1:8" ht="16.8" x14ac:dyDescent="0.4">
      <c r="A222" s="52"/>
      <c r="B222" s="12">
        <v>13</v>
      </c>
      <c r="C222" s="11" t="s">
        <v>21</v>
      </c>
      <c r="D222" s="40"/>
      <c r="E222" s="12"/>
      <c r="F222" s="12" t="str">
        <f t="shared" si="18"/>
        <v/>
      </c>
      <c r="G222" s="13" t="str">
        <f t="shared" si="19"/>
        <v/>
      </c>
      <c r="H222" s="40"/>
    </row>
    <row r="223" spans="1:8" ht="16.8" x14ac:dyDescent="0.4">
      <c r="A223" s="52"/>
      <c r="B223" s="12">
        <v>14</v>
      </c>
      <c r="C223" s="11" t="s">
        <v>14</v>
      </c>
      <c r="D223" s="39"/>
      <c r="E223" s="24" cm="1">
        <f t="array" aca="1" ref="E223" ca="1">HoldingApprovalTable[অনুমোদনের হার]</f>
        <v>71.428571428571431</v>
      </c>
      <c r="F223" s="13" t="str">
        <f ca="1">IF(OR(ISBLANK(D223),ISBLANK(E223)),"",D223-E223)</f>
        <v/>
      </c>
      <c r="G223" s="13" t="str">
        <f ca="1">IF(OR(ISBLANK(D223),ISBLANK(E223)),"",(E223/D223)*100)</f>
        <v/>
      </c>
      <c r="H223" s="40"/>
    </row>
    <row r="224" spans="1:8" ht="16.8" x14ac:dyDescent="0.4">
      <c r="A224" s="52"/>
      <c r="B224" s="12">
        <v>15</v>
      </c>
      <c r="C224" s="11" t="s">
        <v>22</v>
      </c>
      <c r="D224" s="40"/>
      <c r="E224" s="12"/>
      <c r="F224" s="12" t="str">
        <f t="shared" si="18"/>
        <v/>
      </c>
      <c r="G224" s="13" t="str">
        <f t="shared" si="19"/>
        <v/>
      </c>
      <c r="H224" s="40"/>
    </row>
    <row r="225" spans="1:8" ht="16.8" x14ac:dyDescent="0.4">
      <c r="A225" s="52"/>
      <c r="B225" s="12">
        <v>16</v>
      </c>
      <c r="C225" s="11" t="s">
        <v>23</v>
      </c>
      <c r="D225" s="40"/>
      <c r="E225" s="12"/>
      <c r="F225" s="12" t="str">
        <f t="shared" si="18"/>
        <v/>
      </c>
      <c r="G225" s="13" t="str">
        <f t="shared" si="19"/>
        <v/>
      </c>
      <c r="H225" s="40"/>
    </row>
    <row r="226" spans="1:8" ht="16.8" x14ac:dyDescent="0.4">
      <c r="A226" s="52"/>
      <c r="B226" s="12">
        <v>17</v>
      </c>
      <c r="C226" s="11" t="s">
        <v>39</v>
      </c>
      <c r="D226" s="40"/>
      <c r="E226" s="12"/>
      <c r="F226" s="12" t="str">
        <f t="shared" si="18"/>
        <v/>
      </c>
      <c r="G226" s="13" t="str">
        <f t="shared" si="19"/>
        <v/>
      </c>
      <c r="H226" s="40"/>
    </row>
    <row r="227" spans="1:8" ht="16.8" x14ac:dyDescent="0.4">
      <c r="A227" s="53"/>
      <c r="B227" s="18">
        <v>18</v>
      </c>
      <c r="C227" s="16" t="s">
        <v>40</v>
      </c>
      <c r="D227" s="45"/>
      <c r="E227" s="18"/>
      <c r="F227" s="18" t="str">
        <f t="shared" si="18"/>
        <v/>
      </c>
      <c r="G227" s="19" t="str">
        <f t="shared" si="19"/>
        <v/>
      </c>
      <c r="H227" s="45"/>
    </row>
    <row r="228" spans="1:8" ht="16.8" x14ac:dyDescent="0.4">
      <c r="A228" s="46"/>
      <c r="B228" s="40"/>
      <c r="C228" s="9" t="s">
        <v>36</v>
      </c>
      <c r="D228" s="20" t="str">
        <f>IF(COUNTIF(D210:D227,"")=18,"",SUM(D210:D227))</f>
        <v/>
      </c>
      <c r="E228" s="20">
        <f ca="1">IF(COUNTIF(E210:E227,"")=18,"",SUM(E210:E227))</f>
        <v>71.428571428571431</v>
      </c>
      <c r="F228" s="20" t="str">
        <f ca="1">IF(COUNTIF(F210:F227,"")=18,"",SUM(F210:F227))</f>
        <v/>
      </c>
      <c r="G228" s="21" t="str">
        <f ca="1">IF(COUNTIF(G210:G227,"")=18,"",SUM(G210:G227)/(COUNTA(G210:G227)-COUNTBLANK(G210:G227)))</f>
        <v/>
      </c>
      <c r="H228" s="40"/>
    </row>
    <row r="232" spans="1:8" x14ac:dyDescent="0.35">
      <c r="A232" s="51" t="s">
        <v>2</v>
      </c>
      <c r="B232" s="38" t="s">
        <v>0</v>
      </c>
      <c r="C232" s="2" t="s">
        <v>1</v>
      </c>
      <c r="D232" s="38" t="s">
        <v>15</v>
      </c>
      <c r="E232" s="38" t="s">
        <v>4</v>
      </c>
      <c r="F232" s="38" t="s">
        <v>3</v>
      </c>
      <c r="G232" s="38" t="s">
        <v>5</v>
      </c>
      <c r="H232" s="2" t="s">
        <v>16</v>
      </c>
    </row>
    <row r="233" spans="1:8" ht="16.8" x14ac:dyDescent="0.4">
      <c r="A233" s="51"/>
      <c r="B233" s="12">
        <v>1</v>
      </c>
      <c r="C233" s="11" t="s">
        <v>6</v>
      </c>
      <c r="D233" s="39"/>
      <c r="E233" s="24">
        <f>M261</f>
        <v>0</v>
      </c>
      <c r="F233" s="13" t="str">
        <f>IF(OR(ISBLANK(D233),ISBLANK(E233)),"",D233-E233)</f>
        <v/>
      </c>
      <c r="G233" s="13" t="str">
        <f>IF(OR(ISBLANK(D233),ISBLANK(E233)),"",(E233/D233)*100)</f>
        <v/>
      </c>
      <c r="H233" s="40"/>
    </row>
    <row r="234" spans="1:8" ht="16.8" x14ac:dyDescent="0.4">
      <c r="A234" s="52" t="s">
        <v>88</v>
      </c>
      <c r="B234" s="12">
        <v>2</v>
      </c>
      <c r="C234" s="11" t="s">
        <v>7</v>
      </c>
      <c r="D234" s="39"/>
      <c r="E234" s="24">
        <f>N261</f>
        <v>0</v>
      </c>
      <c r="F234" s="13" t="str">
        <f t="shared" ref="F234:F250" si="20">IF(OR(ISBLANK(D234),ISBLANK(E234)),"",D234-E234)</f>
        <v/>
      </c>
      <c r="G234" s="13" t="str">
        <f t="shared" ref="G234:G250" si="21">IF(OR(ISBLANK(D234),ISBLANK(E234)),"",(E234/D234)*100)</f>
        <v/>
      </c>
      <c r="H234" s="40"/>
    </row>
    <row r="235" spans="1:8" ht="16.8" x14ac:dyDescent="0.4">
      <c r="A235" s="52"/>
      <c r="B235" s="12">
        <v>3</v>
      </c>
      <c r="C235" s="11" t="s">
        <v>8</v>
      </c>
      <c r="D235" s="12"/>
      <c r="E235" s="12"/>
      <c r="F235" s="12" t="str">
        <f t="shared" si="20"/>
        <v/>
      </c>
      <c r="G235" s="13" t="str">
        <f t="shared" si="21"/>
        <v/>
      </c>
      <c r="H235" s="40"/>
    </row>
    <row r="236" spans="1:8" ht="16.8" x14ac:dyDescent="0.4">
      <c r="A236" s="52"/>
      <c r="B236" s="12">
        <v>4</v>
      </c>
      <c r="C236" s="11" t="s">
        <v>17</v>
      </c>
      <c r="D236" s="12"/>
      <c r="E236" s="12"/>
      <c r="F236" s="12" t="str">
        <f t="shared" si="20"/>
        <v/>
      </c>
      <c r="G236" s="13" t="str">
        <f t="shared" si="21"/>
        <v/>
      </c>
      <c r="H236" s="40"/>
    </row>
    <row r="237" spans="1:8" ht="16.8" x14ac:dyDescent="0.4">
      <c r="A237" s="52"/>
      <c r="B237" s="12">
        <v>5</v>
      </c>
      <c r="C237" s="11" t="s">
        <v>9</v>
      </c>
      <c r="D237" s="12"/>
      <c r="E237" s="12"/>
      <c r="F237" s="12" t="str">
        <f t="shared" si="20"/>
        <v/>
      </c>
      <c r="G237" s="13" t="str">
        <f t="shared" si="21"/>
        <v/>
      </c>
      <c r="H237" s="40"/>
    </row>
    <row r="238" spans="1:8" ht="16.8" x14ac:dyDescent="0.4">
      <c r="A238" s="52"/>
      <c r="B238" s="12">
        <v>6</v>
      </c>
      <c r="C238" s="11" t="s">
        <v>18</v>
      </c>
      <c r="D238" s="12"/>
      <c r="E238" s="12"/>
      <c r="F238" s="12" t="str">
        <f t="shared" si="20"/>
        <v/>
      </c>
      <c r="G238" s="13" t="str">
        <f t="shared" si="21"/>
        <v/>
      </c>
      <c r="H238" s="40"/>
    </row>
    <row r="239" spans="1:8" ht="16.8" x14ac:dyDescent="0.4">
      <c r="A239" s="52"/>
      <c r="B239" s="12">
        <v>7</v>
      </c>
      <c r="C239" s="11" t="s">
        <v>10</v>
      </c>
      <c r="D239" s="12"/>
      <c r="E239" s="12"/>
      <c r="F239" s="12" t="str">
        <f t="shared" si="20"/>
        <v/>
      </c>
      <c r="G239" s="13" t="str">
        <f t="shared" si="21"/>
        <v/>
      </c>
      <c r="H239" s="40"/>
    </row>
    <row r="240" spans="1:8" ht="16.8" x14ac:dyDescent="0.4">
      <c r="A240" s="52"/>
      <c r="B240" s="12">
        <v>8</v>
      </c>
      <c r="C240" s="11" t="s">
        <v>11</v>
      </c>
      <c r="D240" s="12"/>
      <c r="E240" s="12"/>
      <c r="F240" s="12" t="str">
        <f t="shared" si="20"/>
        <v/>
      </c>
      <c r="G240" s="13" t="str">
        <f t="shared" si="21"/>
        <v/>
      </c>
      <c r="H240" s="40"/>
    </row>
    <row r="241" spans="1:8" ht="16.8" x14ac:dyDescent="0.4">
      <c r="A241" s="52"/>
      <c r="B241" s="12">
        <v>9</v>
      </c>
      <c r="C241" s="11" t="s">
        <v>19</v>
      </c>
      <c r="D241" s="12"/>
      <c r="E241" s="12"/>
      <c r="F241" s="12" t="str">
        <f t="shared" si="20"/>
        <v/>
      </c>
      <c r="G241" s="13" t="str">
        <f t="shared" si="21"/>
        <v/>
      </c>
      <c r="H241" s="40"/>
    </row>
    <row r="242" spans="1:8" ht="16.8" x14ac:dyDescent="0.4">
      <c r="A242" s="52"/>
      <c r="B242" s="12">
        <v>10</v>
      </c>
      <c r="C242" s="11" t="s">
        <v>12</v>
      </c>
      <c r="D242" s="40"/>
      <c r="E242" s="12"/>
      <c r="F242" s="12" t="str">
        <f t="shared" si="20"/>
        <v/>
      </c>
      <c r="G242" s="13" t="str">
        <f t="shared" si="21"/>
        <v/>
      </c>
      <c r="H242" s="40"/>
    </row>
    <row r="243" spans="1:8" ht="16.8" x14ac:dyDescent="0.4">
      <c r="A243" s="52"/>
      <c r="B243" s="12">
        <v>11</v>
      </c>
      <c r="C243" s="11" t="s">
        <v>13</v>
      </c>
      <c r="D243" s="40"/>
      <c r="E243" s="12"/>
      <c r="F243" s="12" t="str">
        <f t="shared" si="20"/>
        <v/>
      </c>
      <c r="G243" s="13" t="str">
        <f t="shared" si="21"/>
        <v/>
      </c>
      <c r="H243" s="40"/>
    </row>
    <row r="244" spans="1:8" ht="16.8" x14ac:dyDescent="0.4">
      <c r="A244" s="52"/>
      <c r="B244" s="12">
        <v>12</v>
      </c>
      <c r="C244" s="11" t="s">
        <v>20</v>
      </c>
      <c r="D244" s="40"/>
      <c r="E244" s="12"/>
      <c r="F244" s="12" t="str">
        <f t="shared" si="20"/>
        <v/>
      </c>
      <c r="G244" s="13" t="str">
        <f t="shared" si="21"/>
        <v/>
      </c>
      <c r="H244" s="40"/>
    </row>
    <row r="245" spans="1:8" ht="16.8" x14ac:dyDescent="0.4">
      <c r="A245" s="52"/>
      <c r="B245" s="12">
        <v>13</v>
      </c>
      <c r="C245" s="11" t="s">
        <v>21</v>
      </c>
      <c r="D245" s="40"/>
      <c r="E245" s="12"/>
      <c r="F245" s="12" t="str">
        <f t="shared" si="20"/>
        <v/>
      </c>
      <c r="G245" s="13" t="str">
        <f t="shared" si="21"/>
        <v/>
      </c>
      <c r="H245" s="40"/>
    </row>
    <row r="246" spans="1:8" ht="16.8" x14ac:dyDescent="0.4">
      <c r="A246" s="52"/>
      <c r="B246" s="12">
        <v>14</v>
      </c>
      <c r="C246" s="11" t="s">
        <v>14</v>
      </c>
      <c r="D246" s="39"/>
      <c r="E246" s="24" cm="1">
        <f t="array" aca="1" ref="E246" ca="1">HoldingApprovalTable[অনুমোদনের হার]</f>
        <v>71.428571428571431</v>
      </c>
      <c r="F246" s="13" t="str">
        <f ca="1">IF(OR(ISBLANK(D246),ISBLANK(E246)),"",D246-E246)</f>
        <v/>
      </c>
      <c r="G246" s="13" t="str">
        <f ca="1">IF(OR(ISBLANK(D246),ISBLANK(E246)),"",(E246/D246)*100)</f>
        <v/>
      </c>
      <c r="H246" s="40"/>
    </row>
    <row r="247" spans="1:8" ht="16.8" x14ac:dyDescent="0.4">
      <c r="A247" s="52"/>
      <c r="B247" s="12">
        <v>15</v>
      </c>
      <c r="C247" s="11" t="s">
        <v>22</v>
      </c>
      <c r="D247" s="40"/>
      <c r="E247" s="12"/>
      <c r="F247" s="12" t="str">
        <f t="shared" si="20"/>
        <v/>
      </c>
      <c r="G247" s="13" t="str">
        <f t="shared" si="21"/>
        <v/>
      </c>
      <c r="H247" s="40"/>
    </row>
    <row r="248" spans="1:8" ht="16.8" x14ac:dyDescent="0.4">
      <c r="A248" s="52"/>
      <c r="B248" s="12">
        <v>16</v>
      </c>
      <c r="C248" s="11" t="s">
        <v>23</v>
      </c>
      <c r="D248" s="40"/>
      <c r="E248" s="12"/>
      <c r="F248" s="12" t="str">
        <f t="shared" si="20"/>
        <v/>
      </c>
      <c r="G248" s="13" t="str">
        <f t="shared" si="21"/>
        <v/>
      </c>
      <c r="H248" s="40"/>
    </row>
    <row r="249" spans="1:8" ht="16.8" x14ac:dyDescent="0.4">
      <c r="A249" s="52"/>
      <c r="B249" s="12">
        <v>17</v>
      </c>
      <c r="C249" s="11" t="s">
        <v>39</v>
      </c>
      <c r="D249" s="40"/>
      <c r="E249" s="12"/>
      <c r="F249" s="12" t="str">
        <f t="shared" si="20"/>
        <v/>
      </c>
      <c r="G249" s="13" t="str">
        <f t="shared" si="21"/>
        <v/>
      </c>
      <c r="H249" s="40"/>
    </row>
    <row r="250" spans="1:8" ht="16.8" x14ac:dyDescent="0.4">
      <c r="A250" s="53"/>
      <c r="B250" s="18">
        <v>18</v>
      </c>
      <c r="C250" s="16" t="s">
        <v>40</v>
      </c>
      <c r="D250" s="45"/>
      <c r="E250" s="18"/>
      <c r="F250" s="18" t="str">
        <f t="shared" si="20"/>
        <v/>
      </c>
      <c r="G250" s="19" t="str">
        <f t="shared" si="21"/>
        <v/>
      </c>
      <c r="H250" s="45"/>
    </row>
    <row r="251" spans="1:8" ht="16.8" x14ac:dyDescent="0.4">
      <c r="A251" s="46"/>
      <c r="B251" s="40"/>
      <c r="C251" s="9" t="s">
        <v>36</v>
      </c>
      <c r="D251" s="20" t="str">
        <f>IF(COUNTIF(D233:D250,"")=18,"",SUM(D233:D250))</f>
        <v/>
      </c>
      <c r="E251" s="20">
        <f ca="1">IF(COUNTIF(E233:E250,"")=18,"",SUM(E233:E250))</f>
        <v>71.428571428571431</v>
      </c>
      <c r="F251" s="20" t="str">
        <f ca="1">IF(COUNTIF(F233:F250,"")=18,"",SUM(F233:F250))</f>
        <v/>
      </c>
      <c r="G251" s="21" t="str">
        <f ca="1">IF(COUNTIF(G233:G250,"")=18,"",SUM(G233:G250)/(COUNTA(G233:G250)-COUNTBLANK(G233:G250)))</f>
        <v/>
      </c>
      <c r="H251" s="40"/>
    </row>
    <row r="255" spans="1:8" x14ac:dyDescent="0.35">
      <c r="A255" s="51" t="s">
        <v>2</v>
      </c>
      <c r="B255" s="38" t="s">
        <v>0</v>
      </c>
      <c r="C255" s="2" t="s">
        <v>1</v>
      </c>
      <c r="D255" s="38" t="s">
        <v>15</v>
      </c>
      <c r="E255" s="38" t="s">
        <v>4</v>
      </c>
      <c r="F255" s="38" t="s">
        <v>3</v>
      </c>
      <c r="G255" s="38" t="s">
        <v>5</v>
      </c>
      <c r="H255" s="2" t="s">
        <v>16</v>
      </c>
    </row>
    <row r="256" spans="1:8" ht="16.8" x14ac:dyDescent="0.4">
      <c r="A256" s="51"/>
      <c r="B256" s="12">
        <v>1</v>
      </c>
      <c r="C256" s="11" t="s">
        <v>6</v>
      </c>
      <c r="D256" s="39"/>
      <c r="E256" s="24">
        <f>M284</f>
        <v>0</v>
      </c>
      <c r="F256" s="13" t="str">
        <f>IF(OR(ISBLANK(D256),ISBLANK(E256)),"",D256-E256)</f>
        <v/>
      </c>
      <c r="G256" s="13" t="str">
        <f>IF(OR(ISBLANK(D256),ISBLANK(E256)),"",(E256/D256)*100)</f>
        <v/>
      </c>
      <c r="H256" s="40"/>
    </row>
    <row r="257" spans="1:8" ht="16.8" x14ac:dyDescent="0.4">
      <c r="A257" s="52" t="s">
        <v>89</v>
      </c>
      <c r="B257" s="12">
        <v>2</v>
      </c>
      <c r="C257" s="11" t="s">
        <v>7</v>
      </c>
      <c r="D257" s="39"/>
      <c r="E257" s="24">
        <f>N284</f>
        <v>0</v>
      </c>
      <c r="F257" s="13" t="str">
        <f t="shared" ref="F257:F273" si="22">IF(OR(ISBLANK(D257),ISBLANK(E257)),"",D257-E257)</f>
        <v/>
      </c>
      <c r="G257" s="13" t="str">
        <f t="shared" ref="G257:G273" si="23">IF(OR(ISBLANK(D257),ISBLANK(E257)),"",(E257/D257)*100)</f>
        <v/>
      </c>
      <c r="H257" s="40"/>
    </row>
    <row r="258" spans="1:8" ht="16.8" x14ac:dyDescent="0.4">
      <c r="A258" s="52"/>
      <c r="B258" s="12">
        <v>3</v>
      </c>
      <c r="C258" s="11" t="s">
        <v>8</v>
      </c>
      <c r="D258" s="12"/>
      <c r="E258" s="12"/>
      <c r="F258" s="12" t="str">
        <f t="shared" si="22"/>
        <v/>
      </c>
      <c r="G258" s="13" t="str">
        <f t="shared" si="23"/>
        <v/>
      </c>
      <c r="H258" s="40"/>
    </row>
    <row r="259" spans="1:8" ht="16.8" x14ac:dyDescent="0.4">
      <c r="A259" s="52"/>
      <c r="B259" s="12">
        <v>4</v>
      </c>
      <c r="C259" s="11" t="s">
        <v>17</v>
      </c>
      <c r="D259" s="12"/>
      <c r="E259" s="12"/>
      <c r="F259" s="12" t="str">
        <f t="shared" si="22"/>
        <v/>
      </c>
      <c r="G259" s="13" t="str">
        <f t="shared" si="23"/>
        <v/>
      </c>
      <c r="H259" s="40"/>
    </row>
    <row r="260" spans="1:8" ht="16.8" x14ac:dyDescent="0.4">
      <c r="A260" s="52"/>
      <c r="B260" s="12">
        <v>5</v>
      </c>
      <c r="C260" s="11" t="s">
        <v>9</v>
      </c>
      <c r="D260" s="12"/>
      <c r="E260" s="12"/>
      <c r="F260" s="12" t="str">
        <f t="shared" si="22"/>
        <v/>
      </c>
      <c r="G260" s="13" t="str">
        <f t="shared" si="23"/>
        <v/>
      </c>
      <c r="H260" s="40"/>
    </row>
    <row r="261" spans="1:8" ht="16.8" x14ac:dyDescent="0.4">
      <c r="A261" s="52"/>
      <c r="B261" s="12">
        <v>6</v>
      </c>
      <c r="C261" s="11" t="s">
        <v>18</v>
      </c>
      <c r="D261" s="12"/>
      <c r="E261" s="12"/>
      <c r="F261" s="12" t="str">
        <f t="shared" si="22"/>
        <v/>
      </c>
      <c r="G261" s="13" t="str">
        <f t="shared" si="23"/>
        <v/>
      </c>
      <c r="H261" s="40"/>
    </row>
    <row r="262" spans="1:8" ht="16.8" x14ac:dyDescent="0.4">
      <c r="A262" s="52"/>
      <c r="B262" s="12">
        <v>7</v>
      </c>
      <c r="C262" s="11" t="s">
        <v>10</v>
      </c>
      <c r="D262" s="12"/>
      <c r="E262" s="12"/>
      <c r="F262" s="12" t="str">
        <f t="shared" si="22"/>
        <v/>
      </c>
      <c r="G262" s="13" t="str">
        <f t="shared" si="23"/>
        <v/>
      </c>
      <c r="H262" s="40"/>
    </row>
    <row r="263" spans="1:8" ht="16.8" x14ac:dyDescent="0.4">
      <c r="A263" s="52"/>
      <c r="B263" s="12">
        <v>8</v>
      </c>
      <c r="C263" s="11" t="s">
        <v>11</v>
      </c>
      <c r="D263" s="12"/>
      <c r="E263" s="12"/>
      <c r="F263" s="12" t="str">
        <f t="shared" si="22"/>
        <v/>
      </c>
      <c r="G263" s="13" t="str">
        <f t="shared" si="23"/>
        <v/>
      </c>
      <c r="H263" s="40"/>
    </row>
    <row r="264" spans="1:8" ht="16.8" x14ac:dyDescent="0.4">
      <c r="A264" s="52"/>
      <c r="B264" s="12">
        <v>9</v>
      </c>
      <c r="C264" s="11" t="s">
        <v>19</v>
      </c>
      <c r="D264" s="12"/>
      <c r="E264" s="12"/>
      <c r="F264" s="12" t="str">
        <f t="shared" si="22"/>
        <v/>
      </c>
      <c r="G264" s="13" t="str">
        <f t="shared" si="23"/>
        <v/>
      </c>
      <c r="H264" s="40"/>
    </row>
    <row r="265" spans="1:8" ht="16.8" x14ac:dyDescent="0.4">
      <c r="A265" s="52"/>
      <c r="B265" s="12">
        <v>10</v>
      </c>
      <c r="C265" s="11" t="s">
        <v>12</v>
      </c>
      <c r="D265" s="40"/>
      <c r="E265" s="12"/>
      <c r="F265" s="12" t="str">
        <f t="shared" si="22"/>
        <v/>
      </c>
      <c r="G265" s="13" t="str">
        <f t="shared" si="23"/>
        <v/>
      </c>
      <c r="H265" s="40"/>
    </row>
    <row r="266" spans="1:8" ht="16.8" x14ac:dyDescent="0.4">
      <c r="A266" s="52"/>
      <c r="B266" s="12">
        <v>11</v>
      </c>
      <c r="C266" s="11" t="s">
        <v>13</v>
      </c>
      <c r="D266" s="40"/>
      <c r="E266" s="12"/>
      <c r="F266" s="12" t="str">
        <f t="shared" si="22"/>
        <v/>
      </c>
      <c r="G266" s="13" t="str">
        <f t="shared" si="23"/>
        <v/>
      </c>
      <c r="H266" s="40"/>
    </row>
    <row r="267" spans="1:8" ht="16.8" x14ac:dyDescent="0.4">
      <c r="A267" s="52"/>
      <c r="B267" s="12">
        <v>12</v>
      </c>
      <c r="C267" s="11" t="s">
        <v>20</v>
      </c>
      <c r="D267" s="40"/>
      <c r="E267" s="12"/>
      <c r="F267" s="12" t="str">
        <f t="shared" si="22"/>
        <v/>
      </c>
      <c r="G267" s="13" t="str">
        <f t="shared" si="23"/>
        <v/>
      </c>
      <c r="H267" s="40"/>
    </row>
    <row r="268" spans="1:8" ht="16.8" x14ac:dyDescent="0.4">
      <c r="A268" s="52"/>
      <c r="B268" s="12">
        <v>13</v>
      </c>
      <c r="C268" s="11" t="s">
        <v>21</v>
      </c>
      <c r="D268" s="40"/>
      <c r="E268" s="12"/>
      <c r="F268" s="12" t="str">
        <f t="shared" si="22"/>
        <v/>
      </c>
      <c r="G268" s="13" t="str">
        <f t="shared" si="23"/>
        <v/>
      </c>
      <c r="H268" s="40"/>
    </row>
    <row r="269" spans="1:8" ht="16.8" x14ac:dyDescent="0.4">
      <c r="A269" s="52"/>
      <c r="B269" s="12">
        <v>14</v>
      </c>
      <c r="C269" s="11" t="s">
        <v>14</v>
      </c>
      <c r="D269" s="39"/>
      <c r="E269" s="24" cm="1">
        <f t="array" aca="1" ref="E269" ca="1">HoldingApprovalTable[অনুমোদনের হার]</f>
        <v>71.428571428571431</v>
      </c>
      <c r="F269" s="13" t="str">
        <f ca="1">IF(OR(ISBLANK(D269),ISBLANK(E269)),"",D269-E269)</f>
        <v/>
      </c>
      <c r="G269" s="13" t="str">
        <f ca="1">IF(OR(ISBLANK(D269),ISBLANK(E269)),"",(E269/D269)*100)</f>
        <v/>
      </c>
      <c r="H269" s="40"/>
    </row>
    <row r="270" spans="1:8" ht="16.8" x14ac:dyDescent="0.4">
      <c r="A270" s="52"/>
      <c r="B270" s="12">
        <v>15</v>
      </c>
      <c r="C270" s="11" t="s">
        <v>22</v>
      </c>
      <c r="D270" s="40"/>
      <c r="E270" s="12"/>
      <c r="F270" s="12" t="str">
        <f t="shared" si="22"/>
        <v/>
      </c>
      <c r="G270" s="13" t="str">
        <f t="shared" si="23"/>
        <v/>
      </c>
      <c r="H270" s="40"/>
    </row>
    <row r="271" spans="1:8" ht="16.8" x14ac:dyDescent="0.4">
      <c r="A271" s="52"/>
      <c r="B271" s="12">
        <v>16</v>
      </c>
      <c r="C271" s="11" t="s">
        <v>23</v>
      </c>
      <c r="D271" s="40"/>
      <c r="E271" s="12"/>
      <c r="F271" s="12" t="str">
        <f t="shared" si="22"/>
        <v/>
      </c>
      <c r="G271" s="13" t="str">
        <f t="shared" si="23"/>
        <v/>
      </c>
      <c r="H271" s="40"/>
    </row>
    <row r="272" spans="1:8" ht="16.8" x14ac:dyDescent="0.4">
      <c r="A272" s="52"/>
      <c r="B272" s="12">
        <v>17</v>
      </c>
      <c r="C272" s="11" t="s">
        <v>39</v>
      </c>
      <c r="D272" s="40"/>
      <c r="E272" s="12"/>
      <c r="F272" s="12" t="str">
        <f t="shared" si="22"/>
        <v/>
      </c>
      <c r="G272" s="13" t="str">
        <f t="shared" si="23"/>
        <v/>
      </c>
      <c r="H272" s="40"/>
    </row>
    <row r="273" spans="1:8" ht="16.8" x14ac:dyDescent="0.4">
      <c r="A273" s="53"/>
      <c r="B273" s="18">
        <v>18</v>
      </c>
      <c r="C273" s="16" t="s">
        <v>40</v>
      </c>
      <c r="D273" s="45"/>
      <c r="E273" s="18"/>
      <c r="F273" s="18" t="str">
        <f t="shared" si="22"/>
        <v/>
      </c>
      <c r="G273" s="19" t="str">
        <f t="shared" si="23"/>
        <v/>
      </c>
      <c r="H273" s="45"/>
    </row>
    <row r="274" spans="1:8" ht="16.8" x14ac:dyDescent="0.4">
      <c r="A274" s="46"/>
      <c r="B274" s="40"/>
      <c r="C274" s="9" t="s">
        <v>36</v>
      </c>
      <c r="D274" s="20" t="str">
        <f>IF(COUNTIF(D256:D273,"")=18,"",SUM(D256:D273))</f>
        <v/>
      </c>
      <c r="E274" s="20">
        <f ca="1">IF(COUNTIF(E256:E273,"")=18,"",SUM(E256:E273))</f>
        <v>71.428571428571431</v>
      </c>
      <c r="F274" s="20" t="str">
        <f ca="1">IF(COUNTIF(F256:F273,"")=18,"",SUM(F256:F273))</f>
        <v/>
      </c>
      <c r="G274" s="21" t="str">
        <f ca="1">IF(COUNTIF(G256:G273,"")=18,"",SUM(G256:G273)/(COUNTA(G256:G273)-COUNTBLANK(G256:G273)))</f>
        <v/>
      </c>
      <c r="H274" s="40"/>
    </row>
  </sheetData>
  <sheetProtection algorithmName="SHA-512" hashValue="oJiRVxD6pghHGW2F2savqgTFlBE0Fb84+ZbYlN+HFxZPZpfndqfAQ0eaqPLHV1XIaaJtTXxJHnFM2VxbJBQm3w==" saltValue="gJvLNJ9bxWQJFmNOKIS0XQ==" spinCount="100000" sheet="1" objects="1" scenarios="1" selectLockedCells="1"/>
  <mergeCells count="27">
    <mergeCell ref="A211:A227"/>
    <mergeCell ref="A232:A233"/>
    <mergeCell ref="A234:A250"/>
    <mergeCell ref="A255:A256"/>
    <mergeCell ref="A257:A273"/>
    <mergeCell ref="A163:A164"/>
    <mergeCell ref="A165:A181"/>
    <mergeCell ref="A186:A187"/>
    <mergeCell ref="A188:A204"/>
    <mergeCell ref="A209:A210"/>
    <mergeCell ref="A96:A112"/>
    <mergeCell ref="A117:A118"/>
    <mergeCell ref="A119:A135"/>
    <mergeCell ref="A140:A141"/>
    <mergeCell ref="A142:A158"/>
    <mergeCell ref="A48:A49"/>
    <mergeCell ref="A50:A66"/>
    <mergeCell ref="A71:A72"/>
    <mergeCell ref="A73:A89"/>
    <mergeCell ref="A94:A95"/>
    <mergeCell ref="A25:A26"/>
    <mergeCell ref="A27:A43"/>
    <mergeCell ref="J13:L13"/>
    <mergeCell ref="J4:L4"/>
    <mergeCell ref="A1:H1"/>
    <mergeCell ref="A4:A20"/>
    <mergeCell ref="A2:A3"/>
  </mergeCells>
  <dataValidations count="1">
    <dataValidation type="whole" operator="greaterThanOrEqual" allowBlank="1" showInputMessage="1" showErrorMessage="1" errorTitle="শুধুমাত্র ধনাত্মক সংখ্যা" error="শুধুমাত্র ধনাত্মক সংখ্যা গ্রহণযোগ্য। ০ বা তার চেয়ে বড় সংখ্যা ইনপুট দিন।" sqref="D3:E20 D26:E43 D49:E66 D72:E89 D95:E112 D118:E135 D141:E158 D164:E181 D187:E204 D210:E227 D233:E250 D256:E273" xr:uid="{7A1944CC-9248-4F1B-AE42-55E49F371200}">
      <formula1>0</formula1>
    </dataValidation>
  </dataValidations>
  <pageMargins left="0.7" right="0.7" top="0.75" bottom="0.75" header="0.3" footer="0.3"/>
  <pageSetup paperSize="9" orientation="landscape" r:id="rId1"/>
  <drawing r:id="rId2"/>
  <tableParts count="14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C2B3F-1DA4-40A7-B8E4-2CAB4F15C358}">
          <x14:formula1>
            <xm:f>Model!$R$2:$R$13</xm:f>
          </x14:formula1>
          <xm:sqref>N1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FF325-F8D7-45D4-B363-E5A62C0C1A33}">
  <sheetPr codeName="Sheet13"/>
  <dimension ref="A1:Q286"/>
  <sheetViews>
    <sheetView workbookViewId="0">
      <pane ySplit="1" topLeftCell="A2" activePane="bottomLeft" state="frozen"/>
      <selection pane="bottomLeft" activeCell="M14" sqref="M14"/>
    </sheetView>
  </sheetViews>
  <sheetFormatPr defaultRowHeight="14.4" x14ac:dyDescent="0.3"/>
  <cols>
    <col min="1" max="1" width="7.33203125" style="22" bestFit="1" customWidth="1"/>
    <col min="2" max="2" width="47.33203125" bestFit="1" customWidth="1"/>
    <col min="3" max="13" width="8.6640625" customWidth="1"/>
    <col min="15" max="15" width="13.109375" bestFit="1" customWidth="1"/>
    <col min="16" max="16" width="10.44140625" bestFit="1" customWidth="1"/>
  </cols>
  <sheetData>
    <row r="1" spans="1:17" x14ac:dyDescent="0.3">
      <c r="A1" s="58" t="s">
        <v>90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</row>
    <row r="2" spans="1:17" x14ac:dyDescent="0.3">
      <c r="A2"/>
      <c r="D2" s="59" t="s">
        <v>83</v>
      </c>
      <c r="E2" s="59"/>
      <c r="F2" s="59"/>
    </row>
    <row r="3" spans="1:17" ht="15" x14ac:dyDescent="0.35">
      <c r="A3" s="1" t="s">
        <v>0</v>
      </c>
      <c r="B3" s="4" t="s">
        <v>1</v>
      </c>
      <c r="C3" s="22" t="s">
        <v>25</v>
      </c>
      <c r="D3" s="22" t="s">
        <v>26</v>
      </c>
      <c r="E3" s="22" t="s">
        <v>27</v>
      </c>
      <c r="F3" s="22" t="s">
        <v>28</v>
      </c>
      <c r="G3" s="22" t="s">
        <v>29</v>
      </c>
      <c r="H3" s="22" t="s">
        <v>30</v>
      </c>
      <c r="I3" s="22" t="s">
        <v>31</v>
      </c>
      <c r="J3" s="22" t="s">
        <v>32</v>
      </c>
      <c r="K3" s="22" t="s">
        <v>35</v>
      </c>
      <c r="L3" s="22" t="s">
        <v>33</v>
      </c>
      <c r="M3" s="22" t="s">
        <v>34</v>
      </c>
    </row>
    <row r="4" spans="1:17" ht="15" x14ac:dyDescent="0.35">
      <c r="A4" s="3">
        <v>1</v>
      </c>
      <c r="B4" s="4" t="s">
        <v>6</v>
      </c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Q4" s="8"/>
    </row>
    <row r="5" spans="1:17" ht="15" x14ac:dyDescent="0.35">
      <c r="A5" s="3">
        <v>2</v>
      </c>
      <c r="B5" s="4" t="s">
        <v>7</v>
      </c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Q5" s="23"/>
    </row>
    <row r="6" spans="1:17" ht="15" x14ac:dyDescent="0.35">
      <c r="A6" s="3">
        <v>3</v>
      </c>
      <c r="B6" s="4" t="s">
        <v>8</v>
      </c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Q6" s="23"/>
    </row>
    <row r="7" spans="1:17" ht="15" x14ac:dyDescent="0.35">
      <c r="A7" s="3">
        <v>4</v>
      </c>
      <c r="B7" s="4" t="s">
        <v>17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</row>
    <row r="8" spans="1:17" ht="15" x14ac:dyDescent="0.35">
      <c r="A8" s="3">
        <v>5</v>
      </c>
      <c r="B8" s="4" t="s">
        <v>9</v>
      </c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</row>
    <row r="9" spans="1:17" ht="15" x14ac:dyDescent="0.35">
      <c r="A9" s="3">
        <v>6</v>
      </c>
      <c r="B9" s="4" t="s">
        <v>18</v>
      </c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</row>
    <row r="10" spans="1:17" ht="15" x14ac:dyDescent="0.35">
      <c r="A10" s="3">
        <v>7</v>
      </c>
      <c r="B10" s="4" t="s">
        <v>10</v>
      </c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</row>
    <row r="11" spans="1:17" ht="15" x14ac:dyDescent="0.35">
      <c r="A11" s="3">
        <v>8</v>
      </c>
      <c r="B11" s="4" t="s">
        <v>11</v>
      </c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</row>
    <row r="12" spans="1:17" ht="15" x14ac:dyDescent="0.35">
      <c r="A12" s="3">
        <v>9</v>
      </c>
      <c r="B12" s="4" t="s">
        <v>19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</row>
    <row r="13" spans="1:17" ht="15" x14ac:dyDescent="0.35">
      <c r="A13" s="3">
        <v>10</v>
      </c>
      <c r="B13" s="4" t="s">
        <v>12</v>
      </c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</row>
    <row r="14" spans="1:17" ht="15" x14ac:dyDescent="0.35">
      <c r="A14" s="3">
        <v>11</v>
      </c>
      <c r="B14" s="4" t="s">
        <v>13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</row>
    <row r="15" spans="1:17" ht="15" x14ac:dyDescent="0.35">
      <c r="A15" s="3">
        <v>12</v>
      </c>
      <c r="B15" s="4" t="s">
        <v>20</v>
      </c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</row>
    <row r="16" spans="1:17" ht="15" x14ac:dyDescent="0.35">
      <c r="A16" s="3">
        <v>13</v>
      </c>
      <c r="B16" s="4" t="s">
        <v>21</v>
      </c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</row>
    <row r="17" spans="1:13" ht="15" x14ac:dyDescent="0.35">
      <c r="A17" s="3">
        <v>14</v>
      </c>
      <c r="B17" s="4" t="s">
        <v>54</v>
      </c>
      <c r="C17" s="26"/>
      <c r="D17" s="22"/>
      <c r="E17" s="22"/>
      <c r="F17" s="22"/>
      <c r="G17" s="22"/>
      <c r="H17" s="22"/>
      <c r="I17" s="22"/>
      <c r="J17" s="22"/>
      <c r="K17" s="22"/>
      <c r="L17" s="22"/>
      <c r="M17" s="22"/>
    </row>
    <row r="18" spans="1:13" ht="15" x14ac:dyDescent="0.35">
      <c r="A18" s="3">
        <v>15</v>
      </c>
      <c r="B18" s="4" t="s">
        <v>14</v>
      </c>
      <c r="C18" s="26"/>
      <c r="D18" s="22"/>
      <c r="E18" s="22"/>
      <c r="F18" s="22"/>
      <c r="G18" s="22"/>
      <c r="H18" s="22"/>
      <c r="I18" s="22"/>
      <c r="J18" s="22"/>
      <c r="K18" s="22"/>
      <c r="L18" s="22"/>
      <c r="M18" s="22"/>
    </row>
    <row r="19" spans="1:13" ht="15" x14ac:dyDescent="0.35">
      <c r="A19" s="3">
        <v>16</v>
      </c>
      <c r="B19" s="4" t="s">
        <v>22</v>
      </c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</row>
    <row r="20" spans="1:13" ht="15" x14ac:dyDescent="0.35">
      <c r="A20" s="3">
        <v>17</v>
      </c>
      <c r="B20" s="4" t="s">
        <v>23</v>
      </c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</row>
    <row r="21" spans="1:13" ht="15" x14ac:dyDescent="0.35">
      <c r="A21" s="3">
        <v>18</v>
      </c>
      <c r="B21" s="4" t="s">
        <v>39</v>
      </c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</row>
    <row r="22" spans="1:13" ht="15" x14ac:dyDescent="0.35">
      <c r="A22" s="3">
        <v>19</v>
      </c>
      <c r="B22" s="4" t="s">
        <v>40</v>
      </c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</row>
    <row r="26" spans="1:13" x14ac:dyDescent="0.3">
      <c r="A26"/>
      <c r="D26" s="59" t="s">
        <v>38</v>
      </c>
      <c r="E26" s="59"/>
      <c r="F26" s="59"/>
    </row>
    <row r="27" spans="1:13" ht="15" x14ac:dyDescent="0.35">
      <c r="A27" s="1" t="s">
        <v>0</v>
      </c>
      <c r="B27" s="4" t="s">
        <v>1</v>
      </c>
      <c r="C27" s="22" t="s">
        <v>25</v>
      </c>
      <c r="D27" s="22" t="s">
        <v>26</v>
      </c>
      <c r="E27" s="22" t="s">
        <v>27</v>
      </c>
      <c r="F27" s="22" t="s">
        <v>28</v>
      </c>
      <c r="G27" s="22" t="s">
        <v>29</v>
      </c>
      <c r="H27" s="22" t="s">
        <v>30</v>
      </c>
      <c r="I27" s="22" t="s">
        <v>31</v>
      </c>
      <c r="J27" s="22" t="s">
        <v>32</v>
      </c>
      <c r="K27" s="22" t="s">
        <v>35</v>
      </c>
      <c r="L27" s="22" t="s">
        <v>33</v>
      </c>
      <c r="M27" s="22" t="s">
        <v>34</v>
      </c>
    </row>
    <row r="28" spans="1:13" ht="15" x14ac:dyDescent="0.35">
      <c r="A28" s="3">
        <v>1</v>
      </c>
      <c r="B28" s="4" t="s">
        <v>6</v>
      </c>
      <c r="C28" s="26">
        <v>5000</v>
      </c>
      <c r="D28" s="22"/>
      <c r="E28" s="22"/>
      <c r="F28" s="22"/>
      <c r="G28" s="22"/>
      <c r="H28" s="22"/>
      <c r="I28" s="22"/>
      <c r="J28" s="22"/>
      <c r="K28" s="22"/>
      <c r="L28" s="22"/>
      <c r="M28" s="22"/>
    </row>
    <row r="29" spans="1:13" ht="15" x14ac:dyDescent="0.35">
      <c r="A29" s="3">
        <v>2</v>
      </c>
      <c r="B29" s="4" t="s">
        <v>7</v>
      </c>
      <c r="C29" s="26">
        <v>2000</v>
      </c>
      <c r="D29" s="22"/>
      <c r="E29" s="22"/>
      <c r="F29" s="22"/>
      <c r="G29" s="22"/>
      <c r="H29" s="22"/>
      <c r="I29" s="22"/>
      <c r="J29" s="22"/>
      <c r="K29" s="22"/>
      <c r="L29" s="22"/>
      <c r="M29" s="22"/>
    </row>
    <row r="30" spans="1:13" ht="15" x14ac:dyDescent="0.35">
      <c r="A30" s="3">
        <v>3</v>
      </c>
      <c r="B30" s="4" t="s">
        <v>8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</row>
    <row r="31" spans="1:13" ht="15" x14ac:dyDescent="0.35">
      <c r="A31" s="3">
        <v>4</v>
      </c>
      <c r="B31" s="4" t="s">
        <v>17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</row>
    <row r="32" spans="1:13" ht="15" x14ac:dyDescent="0.35">
      <c r="A32" s="3">
        <v>5</v>
      </c>
      <c r="B32" s="4" t="s">
        <v>9</v>
      </c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</row>
    <row r="33" spans="1:13" ht="15" x14ac:dyDescent="0.35">
      <c r="A33" s="3">
        <v>6</v>
      </c>
      <c r="B33" s="4" t="s">
        <v>18</v>
      </c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</row>
    <row r="34" spans="1:13" ht="15" x14ac:dyDescent="0.35">
      <c r="A34" s="3">
        <v>7</v>
      </c>
      <c r="B34" s="4" t="s">
        <v>10</v>
      </c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</row>
    <row r="35" spans="1:13" ht="15" x14ac:dyDescent="0.35">
      <c r="A35" s="3">
        <v>8</v>
      </c>
      <c r="B35" s="4" t="s">
        <v>11</v>
      </c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</row>
    <row r="36" spans="1:13" ht="15" x14ac:dyDescent="0.35">
      <c r="A36" s="3">
        <v>9</v>
      </c>
      <c r="B36" s="4" t="s">
        <v>19</v>
      </c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</row>
    <row r="37" spans="1:13" ht="15" x14ac:dyDescent="0.35">
      <c r="A37" s="3">
        <v>10</v>
      </c>
      <c r="B37" s="4" t="s">
        <v>12</v>
      </c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</row>
    <row r="38" spans="1:13" ht="15" x14ac:dyDescent="0.35">
      <c r="A38" s="3">
        <v>11</v>
      </c>
      <c r="B38" s="4" t="s">
        <v>13</v>
      </c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</row>
    <row r="39" spans="1:13" ht="15" x14ac:dyDescent="0.35">
      <c r="A39" s="3">
        <v>12</v>
      </c>
      <c r="B39" s="4" t="s">
        <v>20</v>
      </c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</row>
    <row r="40" spans="1:13" ht="15" x14ac:dyDescent="0.35">
      <c r="A40" s="3">
        <v>13</v>
      </c>
      <c r="B40" s="4" t="s">
        <v>21</v>
      </c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</row>
    <row r="41" spans="1:13" ht="15" x14ac:dyDescent="0.35">
      <c r="A41" s="3">
        <v>14</v>
      </c>
      <c r="B41" s="4" t="s">
        <v>54</v>
      </c>
      <c r="C41" s="26">
        <v>2100</v>
      </c>
      <c r="D41" s="22"/>
      <c r="E41" s="22"/>
      <c r="F41" s="22"/>
      <c r="G41" s="22"/>
      <c r="H41" s="22"/>
      <c r="I41" s="22"/>
      <c r="J41" s="22"/>
      <c r="K41" s="22"/>
      <c r="L41" s="22"/>
      <c r="M41" s="22"/>
    </row>
    <row r="42" spans="1:13" ht="15" x14ac:dyDescent="0.35">
      <c r="A42" s="3">
        <v>15</v>
      </c>
      <c r="B42" s="4" t="s">
        <v>14</v>
      </c>
      <c r="C42" s="26">
        <v>1500</v>
      </c>
      <c r="D42" s="22"/>
      <c r="E42" s="22"/>
      <c r="F42" s="22"/>
      <c r="G42" s="22"/>
      <c r="H42" s="22"/>
      <c r="I42" s="22"/>
      <c r="J42" s="22"/>
      <c r="K42" s="22"/>
      <c r="L42" s="22"/>
      <c r="M42" s="22"/>
    </row>
    <row r="43" spans="1:13" ht="15" x14ac:dyDescent="0.35">
      <c r="A43" s="3">
        <v>16</v>
      </c>
      <c r="B43" s="4" t="s">
        <v>22</v>
      </c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</row>
    <row r="44" spans="1:13" ht="15" x14ac:dyDescent="0.35">
      <c r="A44" s="3">
        <v>17</v>
      </c>
      <c r="B44" s="4" t="s">
        <v>23</v>
      </c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</row>
    <row r="45" spans="1:13" ht="15" x14ac:dyDescent="0.35">
      <c r="A45" s="3">
        <v>18</v>
      </c>
      <c r="B45" s="4" t="s">
        <v>39</v>
      </c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</row>
    <row r="46" spans="1:13" ht="15" x14ac:dyDescent="0.35">
      <c r="A46" s="3">
        <v>19</v>
      </c>
      <c r="B46" s="4" t="s">
        <v>40</v>
      </c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</row>
    <row r="50" spans="1:13" x14ac:dyDescent="0.3">
      <c r="A50"/>
      <c r="D50" s="59" t="s">
        <v>79</v>
      </c>
      <c r="E50" s="59"/>
      <c r="F50" s="59"/>
    </row>
    <row r="51" spans="1:13" ht="15" x14ac:dyDescent="0.35">
      <c r="A51" s="1" t="s">
        <v>0</v>
      </c>
      <c r="B51" s="4" t="s">
        <v>1</v>
      </c>
      <c r="C51" s="22" t="s">
        <v>25</v>
      </c>
      <c r="D51" s="22" t="s">
        <v>26</v>
      </c>
      <c r="E51" s="22" t="s">
        <v>27</v>
      </c>
      <c r="F51" s="22" t="s">
        <v>28</v>
      </c>
      <c r="G51" s="22" t="s">
        <v>29</v>
      </c>
      <c r="H51" s="22" t="s">
        <v>30</v>
      </c>
      <c r="I51" s="22" t="s">
        <v>31</v>
      </c>
      <c r="J51" s="22" t="s">
        <v>32</v>
      </c>
      <c r="K51" s="22" t="s">
        <v>35</v>
      </c>
      <c r="L51" s="22" t="s">
        <v>33</v>
      </c>
      <c r="M51" s="22" t="s">
        <v>34</v>
      </c>
    </row>
    <row r="52" spans="1:13" ht="15" x14ac:dyDescent="0.35">
      <c r="A52" s="3">
        <v>1</v>
      </c>
      <c r="B52" s="4" t="s">
        <v>6</v>
      </c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</row>
    <row r="53" spans="1:13" ht="15" x14ac:dyDescent="0.35">
      <c r="A53" s="3">
        <v>2</v>
      </c>
      <c r="B53" s="4" t="s">
        <v>7</v>
      </c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</row>
    <row r="54" spans="1:13" ht="15" x14ac:dyDescent="0.35">
      <c r="A54" s="3">
        <v>3</v>
      </c>
      <c r="B54" s="4" t="s">
        <v>8</v>
      </c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</row>
    <row r="55" spans="1:13" ht="15" x14ac:dyDescent="0.35">
      <c r="A55" s="3">
        <v>4</v>
      </c>
      <c r="B55" s="4" t="s">
        <v>17</v>
      </c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</row>
    <row r="56" spans="1:13" ht="15" x14ac:dyDescent="0.35">
      <c r="A56" s="3">
        <v>5</v>
      </c>
      <c r="B56" s="4" t="s">
        <v>9</v>
      </c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</row>
    <row r="57" spans="1:13" ht="15" x14ac:dyDescent="0.35">
      <c r="A57" s="3">
        <v>6</v>
      </c>
      <c r="B57" s="4" t="s">
        <v>18</v>
      </c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</row>
    <row r="58" spans="1:13" ht="15" x14ac:dyDescent="0.35">
      <c r="A58" s="3">
        <v>7</v>
      </c>
      <c r="B58" s="4" t="s">
        <v>10</v>
      </c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</row>
    <row r="59" spans="1:13" ht="15" x14ac:dyDescent="0.35">
      <c r="A59" s="3">
        <v>8</v>
      </c>
      <c r="B59" s="4" t="s">
        <v>11</v>
      </c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</row>
    <row r="60" spans="1:13" ht="15" x14ac:dyDescent="0.35">
      <c r="A60" s="3">
        <v>9</v>
      </c>
      <c r="B60" s="4" t="s">
        <v>19</v>
      </c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</row>
    <row r="61" spans="1:13" ht="15" x14ac:dyDescent="0.35">
      <c r="A61" s="3">
        <v>10</v>
      </c>
      <c r="B61" s="4" t="s">
        <v>12</v>
      </c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</row>
    <row r="62" spans="1:13" ht="15" x14ac:dyDescent="0.35">
      <c r="A62" s="3">
        <v>11</v>
      </c>
      <c r="B62" s="4" t="s">
        <v>13</v>
      </c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</row>
    <row r="63" spans="1:13" ht="15" x14ac:dyDescent="0.35">
      <c r="A63" s="3">
        <v>12</v>
      </c>
      <c r="B63" s="4" t="s">
        <v>20</v>
      </c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</row>
    <row r="64" spans="1:13" ht="15" x14ac:dyDescent="0.35">
      <c r="A64" s="3">
        <v>13</v>
      </c>
      <c r="B64" s="4" t="s">
        <v>21</v>
      </c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</row>
    <row r="65" spans="1:13" ht="15" x14ac:dyDescent="0.35">
      <c r="A65" s="3">
        <v>14</v>
      </c>
      <c r="B65" s="4" t="s">
        <v>54</v>
      </c>
      <c r="C65" s="26"/>
      <c r="D65" s="22"/>
      <c r="E65" s="22"/>
      <c r="F65" s="22"/>
      <c r="G65" s="22"/>
      <c r="H65" s="22"/>
      <c r="I65" s="22"/>
      <c r="J65" s="22"/>
      <c r="K65" s="22"/>
      <c r="L65" s="22"/>
      <c r="M65" s="22"/>
    </row>
    <row r="66" spans="1:13" ht="15" x14ac:dyDescent="0.35">
      <c r="A66" s="3">
        <v>15</v>
      </c>
      <c r="B66" s="4" t="s">
        <v>14</v>
      </c>
      <c r="C66" s="26"/>
      <c r="D66" s="22"/>
      <c r="E66" s="22"/>
      <c r="F66" s="22"/>
      <c r="G66" s="22"/>
      <c r="H66" s="22"/>
      <c r="I66" s="22"/>
      <c r="J66" s="22"/>
      <c r="K66" s="22"/>
      <c r="L66" s="22"/>
      <c r="M66" s="22"/>
    </row>
    <row r="67" spans="1:13" ht="15" x14ac:dyDescent="0.35">
      <c r="A67" s="3">
        <v>16</v>
      </c>
      <c r="B67" s="4" t="s">
        <v>22</v>
      </c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</row>
    <row r="68" spans="1:13" ht="15" x14ac:dyDescent="0.35">
      <c r="A68" s="3">
        <v>17</v>
      </c>
      <c r="B68" s="4" t="s">
        <v>23</v>
      </c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</row>
    <row r="69" spans="1:13" ht="15" x14ac:dyDescent="0.35">
      <c r="A69" s="3">
        <v>18</v>
      </c>
      <c r="B69" s="4" t="s">
        <v>39</v>
      </c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</row>
    <row r="70" spans="1:13" ht="15" x14ac:dyDescent="0.35">
      <c r="A70" s="3">
        <v>19</v>
      </c>
      <c r="B70" s="4" t="s">
        <v>40</v>
      </c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</row>
    <row r="74" spans="1:13" x14ac:dyDescent="0.3">
      <c r="A74"/>
      <c r="D74" s="59" t="s">
        <v>80</v>
      </c>
      <c r="E74" s="59"/>
      <c r="F74" s="59"/>
    </row>
    <row r="75" spans="1:13" ht="15" x14ac:dyDescent="0.35">
      <c r="A75" s="1" t="s">
        <v>0</v>
      </c>
      <c r="B75" s="4" t="s">
        <v>1</v>
      </c>
      <c r="C75" s="22" t="s">
        <v>25</v>
      </c>
      <c r="D75" s="22" t="s">
        <v>26</v>
      </c>
      <c r="E75" s="22" t="s">
        <v>27</v>
      </c>
      <c r="F75" s="22" t="s">
        <v>28</v>
      </c>
      <c r="G75" s="22" t="s">
        <v>29</v>
      </c>
      <c r="H75" s="22" t="s">
        <v>30</v>
      </c>
      <c r="I75" s="22" t="s">
        <v>31</v>
      </c>
      <c r="J75" s="22" t="s">
        <v>32</v>
      </c>
      <c r="K75" s="22" t="s">
        <v>35</v>
      </c>
      <c r="L75" s="22" t="s">
        <v>33</v>
      </c>
      <c r="M75" s="22" t="s">
        <v>34</v>
      </c>
    </row>
    <row r="76" spans="1:13" ht="15" x14ac:dyDescent="0.35">
      <c r="A76" s="3">
        <v>1</v>
      </c>
      <c r="B76" s="4" t="s">
        <v>6</v>
      </c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</row>
    <row r="77" spans="1:13" ht="15" x14ac:dyDescent="0.35">
      <c r="A77" s="3">
        <v>2</v>
      </c>
      <c r="B77" s="4" t="s">
        <v>7</v>
      </c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</row>
    <row r="78" spans="1:13" ht="15" x14ac:dyDescent="0.35">
      <c r="A78" s="3">
        <v>3</v>
      </c>
      <c r="B78" s="4" t="s">
        <v>8</v>
      </c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</row>
    <row r="79" spans="1:13" ht="15" x14ac:dyDescent="0.35">
      <c r="A79" s="3">
        <v>4</v>
      </c>
      <c r="B79" s="4" t="s">
        <v>17</v>
      </c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</row>
    <row r="80" spans="1:13" ht="15" x14ac:dyDescent="0.35">
      <c r="A80" s="3">
        <v>5</v>
      </c>
      <c r="B80" s="4" t="s">
        <v>9</v>
      </c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</row>
    <row r="81" spans="1:13" ht="15" x14ac:dyDescent="0.35">
      <c r="A81" s="3">
        <v>6</v>
      </c>
      <c r="B81" s="4" t="s">
        <v>18</v>
      </c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</row>
    <row r="82" spans="1:13" ht="15" x14ac:dyDescent="0.35">
      <c r="A82" s="3">
        <v>7</v>
      </c>
      <c r="B82" s="4" t="s">
        <v>10</v>
      </c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</row>
    <row r="83" spans="1:13" ht="15" x14ac:dyDescent="0.35">
      <c r="A83" s="3">
        <v>8</v>
      </c>
      <c r="B83" s="4" t="s">
        <v>11</v>
      </c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</row>
    <row r="84" spans="1:13" ht="15" x14ac:dyDescent="0.35">
      <c r="A84" s="3">
        <v>9</v>
      </c>
      <c r="B84" s="4" t="s">
        <v>19</v>
      </c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</row>
    <row r="85" spans="1:13" ht="15" x14ac:dyDescent="0.35">
      <c r="A85" s="3">
        <v>10</v>
      </c>
      <c r="B85" s="4" t="s">
        <v>12</v>
      </c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</row>
    <row r="86" spans="1:13" ht="15" x14ac:dyDescent="0.35">
      <c r="A86" s="3">
        <v>11</v>
      </c>
      <c r="B86" s="4" t="s">
        <v>13</v>
      </c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</row>
    <row r="87" spans="1:13" ht="15" x14ac:dyDescent="0.35">
      <c r="A87" s="3">
        <v>12</v>
      </c>
      <c r="B87" s="4" t="s">
        <v>20</v>
      </c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</row>
    <row r="88" spans="1:13" ht="15" x14ac:dyDescent="0.35">
      <c r="A88" s="3">
        <v>13</v>
      </c>
      <c r="B88" s="4" t="s">
        <v>21</v>
      </c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</row>
    <row r="89" spans="1:13" ht="15" x14ac:dyDescent="0.35">
      <c r="A89" s="3">
        <v>14</v>
      </c>
      <c r="B89" s="4" t="s">
        <v>54</v>
      </c>
      <c r="C89" s="26"/>
      <c r="D89" s="22"/>
      <c r="E89" s="22"/>
      <c r="F89" s="22"/>
      <c r="G89" s="22"/>
      <c r="H89" s="22"/>
      <c r="I89" s="22"/>
      <c r="J89" s="22"/>
      <c r="K89" s="22"/>
      <c r="L89" s="22"/>
      <c r="M89" s="22"/>
    </row>
    <row r="90" spans="1:13" ht="15" x14ac:dyDescent="0.35">
      <c r="A90" s="3">
        <v>15</v>
      </c>
      <c r="B90" s="4" t="s">
        <v>14</v>
      </c>
      <c r="C90" s="26"/>
      <c r="D90" s="22"/>
      <c r="E90" s="22"/>
      <c r="F90" s="22"/>
      <c r="G90" s="22"/>
      <c r="H90" s="22"/>
      <c r="I90" s="22"/>
      <c r="J90" s="22"/>
      <c r="K90" s="22"/>
      <c r="L90" s="22"/>
      <c r="M90" s="22"/>
    </row>
    <row r="91" spans="1:13" ht="15" x14ac:dyDescent="0.35">
      <c r="A91" s="3">
        <v>16</v>
      </c>
      <c r="B91" s="4" t="s">
        <v>22</v>
      </c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</row>
    <row r="92" spans="1:13" ht="15" x14ac:dyDescent="0.35">
      <c r="A92" s="3">
        <v>17</v>
      </c>
      <c r="B92" s="4" t="s">
        <v>23</v>
      </c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</row>
    <row r="93" spans="1:13" ht="15" x14ac:dyDescent="0.35">
      <c r="A93" s="3">
        <v>18</v>
      </c>
      <c r="B93" s="4" t="s">
        <v>39</v>
      </c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</row>
    <row r="94" spans="1:13" ht="15" x14ac:dyDescent="0.35">
      <c r="A94" s="3">
        <v>19</v>
      </c>
      <c r="B94" s="4" t="s">
        <v>40</v>
      </c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</row>
    <row r="98" spans="1:13" x14ac:dyDescent="0.3">
      <c r="A98"/>
      <c r="D98" s="59" t="s">
        <v>81</v>
      </c>
      <c r="E98" s="59"/>
      <c r="F98" s="59"/>
    </row>
    <row r="99" spans="1:13" ht="15" x14ac:dyDescent="0.35">
      <c r="A99" s="1" t="s">
        <v>0</v>
      </c>
      <c r="B99" s="4" t="s">
        <v>1</v>
      </c>
      <c r="C99" s="22" t="s">
        <v>25</v>
      </c>
      <c r="D99" s="22" t="s">
        <v>26</v>
      </c>
      <c r="E99" s="22" t="s">
        <v>27</v>
      </c>
      <c r="F99" s="22" t="s">
        <v>28</v>
      </c>
      <c r="G99" s="22" t="s">
        <v>29</v>
      </c>
      <c r="H99" s="22" t="s">
        <v>30</v>
      </c>
      <c r="I99" s="22" t="s">
        <v>31</v>
      </c>
      <c r="J99" s="22" t="s">
        <v>32</v>
      </c>
      <c r="K99" s="22" t="s">
        <v>35</v>
      </c>
      <c r="L99" s="22" t="s">
        <v>33</v>
      </c>
      <c r="M99" s="22" t="s">
        <v>34</v>
      </c>
    </row>
    <row r="100" spans="1:13" ht="15" x14ac:dyDescent="0.35">
      <c r="A100" s="3">
        <v>1</v>
      </c>
      <c r="B100" s="4" t="s">
        <v>6</v>
      </c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</row>
    <row r="101" spans="1:13" ht="15" x14ac:dyDescent="0.35">
      <c r="A101" s="3">
        <v>2</v>
      </c>
      <c r="B101" s="4" t="s">
        <v>7</v>
      </c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</row>
    <row r="102" spans="1:13" ht="15" x14ac:dyDescent="0.35">
      <c r="A102" s="3">
        <v>3</v>
      </c>
      <c r="B102" s="4" t="s">
        <v>8</v>
      </c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</row>
    <row r="103" spans="1:13" ht="15" x14ac:dyDescent="0.35">
      <c r="A103" s="3">
        <v>4</v>
      </c>
      <c r="B103" s="4" t="s">
        <v>17</v>
      </c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</row>
    <row r="104" spans="1:13" ht="15" x14ac:dyDescent="0.35">
      <c r="A104" s="3">
        <v>5</v>
      </c>
      <c r="B104" s="4" t="s">
        <v>9</v>
      </c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</row>
    <row r="105" spans="1:13" ht="15" x14ac:dyDescent="0.35">
      <c r="A105" s="3">
        <v>6</v>
      </c>
      <c r="B105" s="4" t="s">
        <v>18</v>
      </c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</row>
    <row r="106" spans="1:13" ht="15" x14ac:dyDescent="0.35">
      <c r="A106" s="3">
        <v>7</v>
      </c>
      <c r="B106" s="4" t="s">
        <v>10</v>
      </c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</row>
    <row r="107" spans="1:13" ht="15" x14ac:dyDescent="0.35">
      <c r="A107" s="3">
        <v>8</v>
      </c>
      <c r="B107" s="4" t="s">
        <v>11</v>
      </c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</row>
    <row r="108" spans="1:13" ht="15" x14ac:dyDescent="0.35">
      <c r="A108" s="3">
        <v>9</v>
      </c>
      <c r="B108" s="4" t="s">
        <v>19</v>
      </c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</row>
    <row r="109" spans="1:13" ht="15" x14ac:dyDescent="0.35">
      <c r="A109" s="3">
        <v>10</v>
      </c>
      <c r="B109" s="4" t="s">
        <v>12</v>
      </c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</row>
    <row r="110" spans="1:13" ht="15" x14ac:dyDescent="0.35">
      <c r="A110" s="3">
        <v>11</v>
      </c>
      <c r="B110" s="4" t="s">
        <v>13</v>
      </c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</row>
    <row r="111" spans="1:13" ht="15" x14ac:dyDescent="0.35">
      <c r="A111" s="3">
        <v>12</v>
      </c>
      <c r="B111" s="4" t="s">
        <v>20</v>
      </c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</row>
    <row r="112" spans="1:13" ht="15" x14ac:dyDescent="0.35">
      <c r="A112" s="3">
        <v>13</v>
      </c>
      <c r="B112" s="4" t="s">
        <v>21</v>
      </c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</row>
    <row r="113" spans="1:13" ht="15" x14ac:dyDescent="0.35">
      <c r="A113" s="3">
        <v>14</v>
      </c>
      <c r="B113" s="4" t="s">
        <v>54</v>
      </c>
      <c r="C113" s="26"/>
      <c r="D113" s="22"/>
      <c r="E113" s="22"/>
      <c r="F113" s="22"/>
      <c r="G113" s="22"/>
      <c r="H113" s="22"/>
      <c r="I113" s="22"/>
      <c r="J113" s="22"/>
      <c r="K113" s="22"/>
      <c r="L113" s="22"/>
      <c r="M113" s="22"/>
    </row>
    <row r="114" spans="1:13" ht="15" x14ac:dyDescent="0.35">
      <c r="A114" s="3">
        <v>15</v>
      </c>
      <c r="B114" s="4" t="s">
        <v>14</v>
      </c>
      <c r="C114" s="26"/>
      <c r="D114" s="22"/>
      <c r="E114" s="22"/>
      <c r="F114" s="22"/>
      <c r="G114" s="22"/>
      <c r="H114" s="22"/>
      <c r="I114" s="22"/>
      <c r="J114" s="22"/>
      <c r="K114" s="22"/>
      <c r="L114" s="22"/>
      <c r="M114" s="22"/>
    </row>
    <row r="115" spans="1:13" ht="15" x14ac:dyDescent="0.35">
      <c r="A115" s="3">
        <v>16</v>
      </c>
      <c r="B115" s="4" t="s">
        <v>22</v>
      </c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</row>
    <row r="116" spans="1:13" ht="15" x14ac:dyDescent="0.35">
      <c r="A116" s="3">
        <v>17</v>
      </c>
      <c r="B116" s="4" t="s">
        <v>23</v>
      </c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</row>
    <row r="117" spans="1:13" ht="15" x14ac:dyDescent="0.35">
      <c r="A117" s="3">
        <v>18</v>
      </c>
      <c r="B117" s="4" t="s">
        <v>39</v>
      </c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</row>
    <row r="118" spans="1:13" ht="15" x14ac:dyDescent="0.35">
      <c r="A118" s="3">
        <v>19</v>
      </c>
      <c r="B118" s="4" t="s">
        <v>40</v>
      </c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</row>
    <row r="122" spans="1:13" x14ac:dyDescent="0.3">
      <c r="A122"/>
      <c r="D122" s="59" t="s">
        <v>82</v>
      </c>
      <c r="E122" s="59"/>
      <c r="F122" s="59"/>
    </row>
    <row r="123" spans="1:13" ht="15" x14ac:dyDescent="0.35">
      <c r="A123" s="1" t="s">
        <v>0</v>
      </c>
      <c r="B123" s="4" t="s">
        <v>1</v>
      </c>
      <c r="C123" s="22" t="s">
        <v>25</v>
      </c>
      <c r="D123" s="22" t="s">
        <v>26</v>
      </c>
      <c r="E123" s="22" t="s">
        <v>27</v>
      </c>
      <c r="F123" s="22" t="s">
        <v>28</v>
      </c>
      <c r="G123" s="22" t="s">
        <v>29</v>
      </c>
      <c r="H123" s="22" t="s">
        <v>30</v>
      </c>
      <c r="I123" s="22" t="s">
        <v>31</v>
      </c>
      <c r="J123" s="22" t="s">
        <v>32</v>
      </c>
      <c r="K123" s="22" t="s">
        <v>35</v>
      </c>
      <c r="L123" s="22" t="s">
        <v>33</v>
      </c>
      <c r="M123" s="22" t="s">
        <v>34</v>
      </c>
    </row>
    <row r="124" spans="1:13" ht="15" x14ac:dyDescent="0.35">
      <c r="A124" s="3">
        <v>1</v>
      </c>
      <c r="B124" s="4" t="s">
        <v>6</v>
      </c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</row>
    <row r="125" spans="1:13" ht="15" x14ac:dyDescent="0.35">
      <c r="A125" s="3">
        <v>2</v>
      </c>
      <c r="B125" s="4" t="s">
        <v>7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</row>
    <row r="126" spans="1:13" ht="15" x14ac:dyDescent="0.35">
      <c r="A126" s="3">
        <v>3</v>
      </c>
      <c r="B126" s="4" t="s">
        <v>8</v>
      </c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</row>
    <row r="127" spans="1:13" ht="15" x14ac:dyDescent="0.35">
      <c r="A127" s="3">
        <v>4</v>
      </c>
      <c r="B127" s="4" t="s">
        <v>17</v>
      </c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</row>
    <row r="128" spans="1:13" ht="15" x14ac:dyDescent="0.35">
      <c r="A128" s="3">
        <v>5</v>
      </c>
      <c r="B128" s="4" t="s">
        <v>9</v>
      </c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</row>
    <row r="129" spans="1:13" ht="15" x14ac:dyDescent="0.35">
      <c r="A129" s="3">
        <v>6</v>
      </c>
      <c r="B129" s="4" t="s">
        <v>18</v>
      </c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</row>
    <row r="130" spans="1:13" ht="15" x14ac:dyDescent="0.35">
      <c r="A130" s="3">
        <v>7</v>
      </c>
      <c r="B130" s="4" t="s">
        <v>10</v>
      </c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</row>
    <row r="131" spans="1:13" ht="15" x14ac:dyDescent="0.35">
      <c r="A131" s="3">
        <v>8</v>
      </c>
      <c r="B131" s="4" t="s">
        <v>11</v>
      </c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</row>
    <row r="132" spans="1:13" ht="15" x14ac:dyDescent="0.35">
      <c r="A132" s="3">
        <v>9</v>
      </c>
      <c r="B132" s="4" t="s">
        <v>19</v>
      </c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</row>
    <row r="133" spans="1:13" ht="15" x14ac:dyDescent="0.35">
      <c r="A133" s="3">
        <v>10</v>
      </c>
      <c r="B133" s="4" t="s">
        <v>12</v>
      </c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</row>
    <row r="134" spans="1:13" ht="15" x14ac:dyDescent="0.35">
      <c r="A134" s="3">
        <v>11</v>
      </c>
      <c r="B134" s="4" t="s">
        <v>13</v>
      </c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</row>
    <row r="135" spans="1:13" ht="15" x14ac:dyDescent="0.35">
      <c r="A135" s="3">
        <v>12</v>
      </c>
      <c r="B135" s="4" t="s">
        <v>20</v>
      </c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</row>
    <row r="136" spans="1:13" ht="15" x14ac:dyDescent="0.35">
      <c r="A136" s="3">
        <v>13</v>
      </c>
      <c r="B136" s="4" t="s">
        <v>21</v>
      </c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</row>
    <row r="137" spans="1:13" ht="15" x14ac:dyDescent="0.35">
      <c r="A137" s="3">
        <v>14</v>
      </c>
      <c r="B137" s="4" t="s">
        <v>54</v>
      </c>
      <c r="C137" s="26"/>
      <c r="D137" s="22"/>
      <c r="E137" s="22"/>
      <c r="F137" s="22"/>
      <c r="G137" s="22"/>
      <c r="H137" s="22"/>
      <c r="I137" s="22"/>
      <c r="J137" s="22"/>
      <c r="K137" s="22"/>
      <c r="L137" s="22"/>
      <c r="M137" s="22"/>
    </row>
    <row r="138" spans="1:13" ht="15" x14ac:dyDescent="0.35">
      <c r="A138" s="3">
        <v>15</v>
      </c>
      <c r="B138" s="4" t="s">
        <v>14</v>
      </c>
      <c r="C138" s="26"/>
      <c r="D138" s="22"/>
      <c r="E138" s="22"/>
      <c r="F138" s="22"/>
      <c r="G138" s="22"/>
      <c r="H138" s="22"/>
      <c r="I138" s="22"/>
      <c r="J138" s="22"/>
      <c r="K138" s="22"/>
      <c r="L138" s="22"/>
      <c r="M138" s="22"/>
    </row>
    <row r="139" spans="1:13" ht="15" x14ac:dyDescent="0.35">
      <c r="A139" s="3">
        <v>16</v>
      </c>
      <c r="B139" s="4" t="s">
        <v>22</v>
      </c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</row>
    <row r="140" spans="1:13" ht="15" x14ac:dyDescent="0.35">
      <c r="A140" s="3">
        <v>17</v>
      </c>
      <c r="B140" s="4" t="s">
        <v>23</v>
      </c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</row>
    <row r="141" spans="1:13" ht="15" x14ac:dyDescent="0.35">
      <c r="A141" s="3">
        <v>18</v>
      </c>
      <c r="B141" s="4" t="s">
        <v>39</v>
      </c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</row>
    <row r="142" spans="1:13" ht="15" x14ac:dyDescent="0.35">
      <c r="A142" s="3">
        <v>19</v>
      </c>
      <c r="B142" s="4" t="s">
        <v>40</v>
      </c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</row>
    <row r="146" spans="1:13" x14ac:dyDescent="0.3">
      <c r="A146"/>
      <c r="D146" s="59" t="s">
        <v>84</v>
      </c>
      <c r="E146" s="59"/>
      <c r="F146" s="59"/>
    </row>
    <row r="147" spans="1:13" ht="15" x14ac:dyDescent="0.35">
      <c r="A147" s="1" t="s">
        <v>0</v>
      </c>
      <c r="B147" s="4" t="s">
        <v>1</v>
      </c>
      <c r="C147" s="22" t="s">
        <v>25</v>
      </c>
      <c r="D147" s="22" t="s">
        <v>26</v>
      </c>
      <c r="E147" s="22" t="s">
        <v>27</v>
      </c>
      <c r="F147" s="22" t="s">
        <v>28</v>
      </c>
      <c r="G147" s="22" t="s">
        <v>29</v>
      </c>
      <c r="H147" s="22" t="s">
        <v>30</v>
      </c>
      <c r="I147" s="22" t="s">
        <v>31</v>
      </c>
      <c r="J147" s="22" t="s">
        <v>32</v>
      </c>
      <c r="K147" s="22" t="s">
        <v>35</v>
      </c>
      <c r="L147" s="22" t="s">
        <v>33</v>
      </c>
      <c r="M147" s="22" t="s">
        <v>34</v>
      </c>
    </row>
    <row r="148" spans="1:13" ht="15" x14ac:dyDescent="0.35">
      <c r="A148" s="3">
        <v>1</v>
      </c>
      <c r="B148" s="4" t="s">
        <v>6</v>
      </c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</row>
    <row r="149" spans="1:13" ht="15" x14ac:dyDescent="0.35">
      <c r="A149" s="3">
        <v>2</v>
      </c>
      <c r="B149" s="4" t="s">
        <v>7</v>
      </c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</row>
    <row r="150" spans="1:13" ht="15" x14ac:dyDescent="0.35">
      <c r="A150" s="3">
        <v>3</v>
      </c>
      <c r="B150" s="4" t="s">
        <v>8</v>
      </c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</row>
    <row r="151" spans="1:13" ht="15" x14ac:dyDescent="0.35">
      <c r="A151" s="3">
        <v>4</v>
      </c>
      <c r="B151" s="4" t="s">
        <v>17</v>
      </c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</row>
    <row r="152" spans="1:13" ht="15" x14ac:dyDescent="0.35">
      <c r="A152" s="3">
        <v>5</v>
      </c>
      <c r="B152" s="4" t="s">
        <v>9</v>
      </c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</row>
    <row r="153" spans="1:13" ht="15" x14ac:dyDescent="0.35">
      <c r="A153" s="3">
        <v>6</v>
      </c>
      <c r="B153" s="4" t="s">
        <v>18</v>
      </c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</row>
    <row r="154" spans="1:13" ht="15" x14ac:dyDescent="0.35">
      <c r="A154" s="3">
        <v>7</v>
      </c>
      <c r="B154" s="4" t="s">
        <v>10</v>
      </c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</row>
    <row r="155" spans="1:13" ht="15" x14ac:dyDescent="0.35">
      <c r="A155" s="3">
        <v>8</v>
      </c>
      <c r="B155" s="4" t="s">
        <v>11</v>
      </c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</row>
    <row r="156" spans="1:13" ht="15" x14ac:dyDescent="0.35">
      <c r="A156" s="3">
        <v>9</v>
      </c>
      <c r="B156" s="4" t="s">
        <v>19</v>
      </c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</row>
    <row r="157" spans="1:13" ht="15" x14ac:dyDescent="0.35">
      <c r="A157" s="3">
        <v>10</v>
      </c>
      <c r="B157" s="4" t="s">
        <v>12</v>
      </c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</row>
    <row r="158" spans="1:13" ht="15" x14ac:dyDescent="0.35">
      <c r="A158" s="3">
        <v>11</v>
      </c>
      <c r="B158" s="4" t="s">
        <v>13</v>
      </c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</row>
    <row r="159" spans="1:13" ht="15" x14ac:dyDescent="0.35">
      <c r="A159" s="3">
        <v>12</v>
      </c>
      <c r="B159" s="4" t="s">
        <v>20</v>
      </c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</row>
    <row r="160" spans="1:13" ht="15" x14ac:dyDescent="0.35">
      <c r="A160" s="3">
        <v>13</v>
      </c>
      <c r="B160" s="4" t="s">
        <v>21</v>
      </c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</row>
    <row r="161" spans="1:13" ht="15" x14ac:dyDescent="0.35">
      <c r="A161" s="3">
        <v>14</v>
      </c>
      <c r="B161" s="4" t="s">
        <v>54</v>
      </c>
      <c r="C161" s="26"/>
      <c r="D161" s="22"/>
      <c r="E161" s="22"/>
      <c r="F161" s="22"/>
      <c r="G161" s="22"/>
      <c r="H161" s="22"/>
      <c r="I161" s="22"/>
      <c r="J161" s="22"/>
      <c r="K161" s="22"/>
      <c r="L161" s="22"/>
      <c r="M161" s="22"/>
    </row>
    <row r="162" spans="1:13" ht="15" x14ac:dyDescent="0.35">
      <c r="A162" s="3">
        <v>15</v>
      </c>
      <c r="B162" s="4" t="s">
        <v>14</v>
      </c>
      <c r="C162" s="26"/>
      <c r="D162" s="22"/>
      <c r="E162" s="22"/>
      <c r="F162" s="22"/>
      <c r="G162" s="22"/>
      <c r="H162" s="22"/>
      <c r="I162" s="22"/>
      <c r="J162" s="22"/>
      <c r="K162" s="22"/>
      <c r="L162" s="22"/>
      <c r="M162" s="22"/>
    </row>
    <row r="163" spans="1:13" ht="15" x14ac:dyDescent="0.35">
      <c r="A163" s="3">
        <v>16</v>
      </c>
      <c r="B163" s="4" t="s">
        <v>22</v>
      </c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</row>
    <row r="164" spans="1:13" ht="15" x14ac:dyDescent="0.35">
      <c r="A164" s="3">
        <v>17</v>
      </c>
      <c r="B164" s="4" t="s">
        <v>23</v>
      </c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</row>
    <row r="165" spans="1:13" ht="15" x14ac:dyDescent="0.35">
      <c r="A165" s="3">
        <v>18</v>
      </c>
      <c r="B165" s="4" t="s">
        <v>39</v>
      </c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</row>
    <row r="166" spans="1:13" ht="15" x14ac:dyDescent="0.35">
      <c r="A166" s="3">
        <v>19</v>
      </c>
      <c r="B166" s="4" t="s">
        <v>40</v>
      </c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</row>
    <row r="170" spans="1:13" x14ac:dyDescent="0.3">
      <c r="A170"/>
      <c r="D170" s="59" t="s">
        <v>85</v>
      </c>
      <c r="E170" s="59"/>
      <c r="F170" s="59"/>
    </row>
    <row r="171" spans="1:13" ht="15" x14ac:dyDescent="0.35">
      <c r="A171" s="1" t="s">
        <v>0</v>
      </c>
      <c r="B171" s="4" t="s">
        <v>1</v>
      </c>
      <c r="C171" s="22" t="s">
        <v>25</v>
      </c>
      <c r="D171" s="22" t="s">
        <v>26</v>
      </c>
      <c r="E171" s="22" t="s">
        <v>27</v>
      </c>
      <c r="F171" s="22" t="s">
        <v>28</v>
      </c>
      <c r="G171" s="22" t="s">
        <v>29</v>
      </c>
      <c r="H171" s="22" t="s">
        <v>30</v>
      </c>
      <c r="I171" s="22" t="s">
        <v>31</v>
      </c>
      <c r="J171" s="22" t="s">
        <v>32</v>
      </c>
      <c r="K171" s="22" t="s">
        <v>35</v>
      </c>
      <c r="L171" s="22" t="s">
        <v>33</v>
      </c>
      <c r="M171" s="22" t="s">
        <v>34</v>
      </c>
    </row>
    <row r="172" spans="1:13" ht="15" x14ac:dyDescent="0.35">
      <c r="A172" s="3">
        <v>1</v>
      </c>
      <c r="B172" s="4" t="s">
        <v>6</v>
      </c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</row>
    <row r="173" spans="1:13" ht="15" x14ac:dyDescent="0.35">
      <c r="A173" s="3">
        <v>2</v>
      </c>
      <c r="B173" s="4" t="s">
        <v>7</v>
      </c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</row>
    <row r="174" spans="1:13" ht="15" x14ac:dyDescent="0.35">
      <c r="A174" s="3">
        <v>3</v>
      </c>
      <c r="B174" s="4" t="s">
        <v>8</v>
      </c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</row>
    <row r="175" spans="1:13" ht="15" x14ac:dyDescent="0.35">
      <c r="A175" s="3">
        <v>4</v>
      </c>
      <c r="B175" s="4" t="s">
        <v>17</v>
      </c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</row>
    <row r="176" spans="1:13" ht="15" x14ac:dyDescent="0.35">
      <c r="A176" s="3">
        <v>5</v>
      </c>
      <c r="B176" s="4" t="s">
        <v>9</v>
      </c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</row>
    <row r="177" spans="1:13" ht="15" x14ac:dyDescent="0.35">
      <c r="A177" s="3">
        <v>6</v>
      </c>
      <c r="B177" s="4" t="s">
        <v>18</v>
      </c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</row>
    <row r="178" spans="1:13" ht="15" x14ac:dyDescent="0.35">
      <c r="A178" s="3">
        <v>7</v>
      </c>
      <c r="B178" s="4" t="s">
        <v>10</v>
      </c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</row>
    <row r="179" spans="1:13" ht="15" x14ac:dyDescent="0.35">
      <c r="A179" s="3">
        <v>8</v>
      </c>
      <c r="B179" s="4" t="s">
        <v>11</v>
      </c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</row>
    <row r="180" spans="1:13" ht="15" x14ac:dyDescent="0.35">
      <c r="A180" s="3">
        <v>9</v>
      </c>
      <c r="B180" s="4" t="s">
        <v>19</v>
      </c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</row>
    <row r="181" spans="1:13" ht="15" x14ac:dyDescent="0.35">
      <c r="A181" s="3">
        <v>10</v>
      </c>
      <c r="B181" s="4" t="s">
        <v>12</v>
      </c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</row>
    <row r="182" spans="1:13" ht="15" x14ac:dyDescent="0.35">
      <c r="A182" s="3">
        <v>11</v>
      </c>
      <c r="B182" s="4" t="s">
        <v>13</v>
      </c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</row>
    <row r="183" spans="1:13" ht="15" x14ac:dyDescent="0.35">
      <c r="A183" s="3">
        <v>12</v>
      </c>
      <c r="B183" s="4" t="s">
        <v>20</v>
      </c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</row>
    <row r="184" spans="1:13" ht="15" x14ac:dyDescent="0.35">
      <c r="A184" s="3">
        <v>13</v>
      </c>
      <c r="B184" s="4" t="s">
        <v>21</v>
      </c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</row>
    <row r="185" spans="1:13" ht="15" x14ac:dyDescent="0.35">
      <c r="A185" s="3">
        <v>14</v>
      </c>
      <c r="B185" s="4" t="s">
        <v>54</v>
      </c>
      <c r="C185" s="26"/>
      <c r="D185" s="22"/>
      <c r="E185" s="22"/>
      <c r="F185" s="22"/>
      <c r="G185" s="22"/>
      <c r="H185" s="22"/>
      <c r="I185" s="22"/>
      <c r="J185" s="22"/>
      <c r="K185" s="22"/>
      <c r="L185" s="22"/>
      <c r="M185" s="22"/>
    </row>
    <row r="186" spans="1:13" ht="15" x14ac:dyDescent="0.35">
      <c r="A186" s="3">
        <v>15</v>
      </c>
      <c r="B186" s="4" t="s">
        <v>14</v>
      </c>
      <c r="C186" s="26"/>
      <c r="D186" s="22"/>
      <c r="E186" s="22"/>
      <c r="F186" s="22"/>
      <c r="G186" s="22"/>
      <c r="H186" s="22"/>
      <c r="I186" s="22"/>
      <c r="J186" s="22"/>
      <c r="K186" s="22"/>
      <c r="L186" s="22"/>
      <c r="M186" s="22"/>
    </row>
    <row r="187" spans="1:13" ht="15" x14ac:dyDescent="0.35">
      <c r="A187" s="3">
        <v>16</v>
      </c>
      <c r="B187" s="4" t="s">
        <v>22</v>
      </c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</row>
    <row r="188" spans="1:13" ht="15" x14ac:dyDescent="0.35">
      <c r="A188" s="3">
        <v>17</v>
      </c>
      <c r="B188" s="4" t="s">
        <v>23</v>
      </c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</row>
    <row r="189" spans="1:13" ht="15" x14ac:dyDescent="0.35">
      <c r="A189" s="3">
        <v>18</v>
      </c>
      <c r="B189" s="4" t="s">
        <v>39</v>
      </c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</row>
    <row r="190" spans="1:13" ht="15" x14ac:dyDescent="0.35">
      <c r="A190" s="3">
        <v>19</v>
      </c>
      <c r="B190" s="4" t="s">
        <v>40</v>
      </c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</row>
    <row r="194" spans="1:13" x14ac:dyDescent="0.3">
      <c r="A194"/>
      <c r="D194" s="59" t="s">
        <v>86</v>
      </c>
      <c r="E194" s="59"/>
      <c r="F194" s="59"/>
    </row>
    <row r="195" spans="1:13" ht="15" x14ac:dyDescent="0.35">
      <c r="A195" s="1" t="s">
        <v>0</v>
      </c>
      <c r="B195" s="4" t="s">
        <v>1</v>
      </c>
      <c r="C195" s="22" t="s">
        <v>25</v>
      </c>
      <c r="D195" s="22" t="s">
        <v>26</v>
      </c>
      <c r="E195" s="22" t="s">
        <v>27</v>
      </c>
      <c r="F195" s="22" t="s">
        <v>28</v>
      </c>
      <c r="G195" s="22" t="s">
        <v>29</v>
      </c>
      <c r="H195" s="22" t="s">
        <v>30</v>
      </c>
      <c r="I195" s="22" t="s">
        <v>31</v>
      </c>
      <c r="J195" s="22" t="s">
        <v>32</v>
      </c>
      <c r="K195" s="22" t="s">
        <v>35</v>
      </c>
      <c r="L195" s="22" t="s">
        <v>33</v>
      </c>
      <c r="M195" s="22" t="s">
        <v>34</v>
      </c>
    </row>
    <row r="196" spans="1:13" ht="15" x14ac:dyDescent="0.35">
      <c r="A196" s="3">
        <v>1</v>
      </c>
      <c r="B196" s="4" t="s">
        <v>6</v>
      </c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</row>
    <row r="197" spans="1:13" ht="15" x14ac:dyDescent="0.35">
      <c r="A197" s="3">
        <v>2</v>
      </c>
      <c r="B197" s="4" t="s">
        <v>7</v>
      </c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</row>
    <row r="198" spans="1:13" ht="15" x14ac:dyDescent="0.35">
      <c r="A198" s="3">
        <v>3</v>
      </c>
      <c r="B198" s="4" t="s">
        <v>8</v>
      </c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</row>
    <row r="199" spans="1:13" ht="15" x14ac:dyDescent="0.35">
      <c r="A199" s="3">
        <v>4</v>
      </c>
      <c r="B199" s="4" t="s">
        <v>17</v>
      </c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</row>
    <row r="200" spans="1:13" ht="15" x14ac:dyDescent="0.35">
      <c r="A200" s="3">
        <v>5</v>
      </c>
      <c r="B200" s="4" t="s">
        <v>9</v>
      </c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</row>
    <row r="201" spans="1:13" ht="15" x14ac:dyDescent="0.35">
      <c r="A201" s="3">
        <v>6</v>
      </c>
      <c r="B201" s="4" t="s">
        <v>18</v>
      </c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</row>
    <row r="202" spans="1:13" ht="15" x14ac:dyDescent="0.35">
      <c r="A202" s="3">
        <v>7</v>
      </c>
      <c r="B202" s="4" t="s">
        <v>10</v>
      </c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</row>
    <row r="203" spans="1:13" ht="15" x14ac:dyDescent="0.35">
      <c r="A203" s="3">
        <v>8</v>
      </c>
      <c r="B203" s="4" t="s">
        <v>11</v>
      </c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</row>
    <row r="204" spans="1:13" ht="15" x14ac:dyDescent="0.35">
      <c r="A204" s="3">
        <v>9</v>
      </c>
      <c r="B204" s="4" t="s">
        <v>19</v>
      </c>
      <c r="C204" s="22"/>
      <c r="D204" s="22"/>
      <c r="E204" s="22"/>
      <c r="F204" s="22"/>
      <c r="G204" s="22"/>
      <c r="H204" s="22"/>
      <c r="I204" s="22"/>
      <c r="J204" s="22"/>
      <c r="K204" s="22"/>
      <c r="L204" s="22"/>
      <c r="M204" s="22"/>
    </row>
    <row r="205" spans="1:13" ht="15" x14ac:dyDescent="0.35">
      <c r="A205" s="3">
        <v>10</v>
      </c>
      <c r="B205" s="4" t="s">
        <v>12</v>
      </c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</row>
    <row r="206" spans="1:13" ht="15" x14ac:dyDescent="0.35">
      <c r="A206" s="3">
        <v>11</v>
      </c>
      <c r="B206" s="4" t="s">
        <v>13</v>
      </c>
      <c r="C206" s="22"/>
      <c r="D206" s="22"/>
      <c r="E206" s="22"/>
      <c r="F206" s="22"/>
      <c r="G206" s="22"/>
      <c r="H206" s="22"/>
      <c r="I206" s="22"/>
      <c r="J206" s="22"/>
      <c r="K206" s="22"/>
      <c r="L206" s="22"/>
      <c r="M206" s="22"/>
    </row>
    <row r="207" spans="1:13" ht="15" x14ac:dyDescent="0.35">
      <c r="A207" s="3">
        <v>12</v>
      </c>
      <c r="B207" s="4" t="s">
        <v>20</v>
      </c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</row>
    <row r="208" spans="1:13" ht="15" x14ac:dyDescent="0.35">
      <c r="A208" s="3">
        <v>13</v>
      </c>
      <c r="B208" s="4" t="s">
        <v>21</v>
      </c>
      <c r="C208" s="22"/>
      <c r="D208" s="22"/>
      <c r="E208" s="22"/>
      <c r="F208" s="22"/>
      <c r="G208" s="22"/>
      <c r="H208" s="22"/>
      <c r="I208" s="22"/>
      <c r="J208" s="22"/>
      <c r="K208" s="22"/>
      <c r="L208" s="22"/>
      <c r="M208" s="22"/>
    </row>
    <row r="209" spans="1:13" ht="15" x14ac:dyDescent="0.35">
      <c r="A209" s="3">
        <v>14</v>
      </c>
      <c r="B209" s="4" t="s">
        <v>54</v>
      </c>
      <c r="C209" s="26"/>
      <c r="D209" s="22"/>
      <c r="E209" s="22"/>
      <c r="F209" s="22"/>
      <c r="G209" s="22"/>
      <c r="H209" s="22"/>
      <c r="I209" s="22"/>
      <c r="J209" s="22"/>
      <c r="K209" s="22"/>
      <c r="L209" s="22"/>
      <c r="M209" s="22"/>
    </row>
    <row r="210" spans="1:13" ht="15" x14ac:dyDescent="0.35">
      <c r="A210" s="3">
        <v>15</v>
      </c>
      <c r="B210" s="4" t="s">
        <v>14</v>
      </c>
      <c r="C210" s="26"/>
      <c r="D210" s="22"/>
      <c r="E210" s="22"/>
      <c r="F210" s="22"/>
      <c r="G210" s="22"/>
      <c r="H210" s="22"/>
      <c r="I210" s="22"/>
      <c r="J210" s="22"/>
      <c r="K210" s="22"/>
      <c r="L210" s="22"/>
      <c r="M210" s="22"/>
    </row>
    <row r="211" spans="1:13" ht="15" x14ac:dyDescent="0.35">
      <c r="A211" s="3">
        <v>16</v>
      </c>
      <c r="B211" s="4" t="s">
        <v>22</v>
      </c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</row>
    <row r="212" spans="1:13" ht="15" x14ac:dyDescent="0.35">
      <c r="A212" s="3">
        <v>17</v>
      </c>
      <c r="B212" s="4" t="s">
        <v>23</v>
      </c>
      <c r="C212" s="22"/>
      <c r="D212" s="22"/>
      <c r="E212" s="22"/>
      <c r="F212" s="22"/>
      <c r="G212" s="22"/>
      <c r="H212" s="22"/>
      <c r="I212" s="22"/>
      <c r="J212" s="22"/>
      <c r="K212" s="22"/>
      <c r="L212" s="22"/>
      <c r="M212" s="22"/>
    </row>
    <row r="213" spans="1:13" ht="15" x14ac:dyDescent="0.35">
      <c r="A213" s="3">
        <v>18</v>
      </c>
      <c r="B213" s="4" t="s">
        <v>39</v>
      </c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</row>
    <row r="214" spans="1:13" ht="15" x14ac:dyDescent="0.35">
      <c r="A214" s="3">
        <v>19</v>
      </c>
      <c r="B214" s="4" t="s">
        <v>40</v>
      </c>
      <c r="C214" s="22"/>
      <c r="D214" s="22"/>
      <c r="E214" s="22"/>
      <c r="F214" s="22"/>
      <c r="G214" s="22"/>
      <c r="H214" s="22"/>
      <c r="I214" s="22"/>
      <c r="J214" s="22"/>
      <c r="K214" s="22"/>
      <c r="L214" s="22"/>
      <c r="M214" s="22"/>
    </row>
    <row r="218" spans="1:13" x14ac:dyDescent="0.3">
      <c r="A218"/>
      <c r="D218" s="59" t="s">
        <v>87</v>
      </c>
      <c r="E218" s="59"/>
      <c r="F218" s="59"/>
    </row>
    <row r="219" spans="1:13" ht="15" x14ac:dyDescent="0.35">
      <c r="A219" s="1" t="s">
        <v>0</v>
      </c>
      <c r="B219" s="4" t="s">
        <v>1</v>
      </c>
      <c r="C219" s="22" t="s">
        <v>25</v>
      </c>
      <c r="D219" s="22" t="s">
        <v>26</v>
      </c>
      <c r="E219" s="22" t="s">
        <v>27</v>
      </c>
      <c r="F219" s="22" t="s">
        <v>28</v>
      </c>
      <c r="G219" s="22" t="s">
        <v>29</v>
      </c>
      <c r="H219" s="22" t="s">
        <v>30</v>
      </c>
      <c r="I219" s="22" t="s">
        <v>31</v>
      </c>
      <c r="J219" s="22" t="s">
        <v>32</v>
      </c>
      <c r="K219" s="22" t="s">
        <v>35</v>
      </c>
      <c r="L219" s="22" t="s">
        <v>33</v>
      </c>
      <c r="M219" s="22" t="s">
        <v>34</v>
      </c>
    </row>
    <row r="220" spans="1:13" ht="15" x14ac:dyDescent="0.35">
      <c r="A220" s="3">
        <v>1</v>
      </c>
      <c r="B220" s="4" t="s">
        <v>6</v>
      </c>
      <c r="C220" s="22"/>
      <c r="D220" s="22"/>
      <c r="E220" s="22"/>
      <c r="F220" s="22"/>
      <c r="G220" s="22"/>
      <c r="H220" s="22"/>
      <c r="I220" s="22"/>
      <c r="J220" s="22"/>
      <c r="K220" s="22"/>
      <c r="L220" s="22"/>
      <c r="M220" s="22"/>
    </row>
    <row r="221" spans="1:13" ht="15" x14ac:dyDescent="0.35">
      <c r="A221" s="3">
        <v>2</v>
      </c>
      <c r="B221" s="4" t="s">
        <v>7</v>
      </c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</row>
    <row r="222" spans="1:13" ht="15" x14ac:dyDescent="0.35">
      <c r="A222" s="3">
        <v>3</v>
      </c>
      <c r="B222" s="4" t="s">
        <v>8</v>
      </c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</row>
    <row r="223" spans="1:13" ht="15" x14ac:dyDescent="0.35">
      <c r="A223" s="3">
        <v>4</v>
      </c>
      <c r="B223" s="4" t="s">
        <v>17</v>
      </c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</row>
    <row r="224" spans="1:13" ht="15" x14ac:dyDescent="0.35">
      <c r="A224" s="3">
        <v>5</v>
      </c>
      <c r="B224" s="4" t="s">
        <v>9</v>
      </c>
      <c r="C224" s="22"/>
      <c r="D224" s="22"/>
      <c r="E224" s="22"/>
      <c r="F224" s="22"/>
      <c r="G224" s="22"/>
      <c r="H224" s="22"/>
      <c r="I224" s="22"/>
      <c r="J224" s="22"/>
      <c r="K224" s="22"/>
      <c r="L224" s="22"/>
      <c r="M224" s="22"/>
    </row>
    <row r="225" spans="1:13" ht="15" x14ac:dyDescent="0.35">
      <c r="A225" s="3">
        <v>6</v>
      </c>
      <c r="B225" s="4" t="s">
        <v>18</v>
      </c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</row>
    <row r="226" spans="1:13" ht="15" x14ac:dyDescent="0.35">
      <c r="A226" s="3">
        <v>7</v>
      </c>
      <c r="B226" s="4" t="s">
        <v>10</v>
      </c>
      <c r="C226" s="22"/>
      <c r="D226" s="22"/>
      <c r="E226" s="22"/>
      <c r="F226" s="22"/>
      <c r="G226" s="22"/>
      <c r="H226" s="22"/>
      <c r="I226" s="22"/>
      <c r="J226" s="22"/>
      <c r="K226" s="22"/>
      <c r="L226" s="22"/>
      <c r="M226" s="22"/>
    </row>
    <row r="227" spans="1:13" ht="15" x14ac:dyDescent="0.35">
      <c r="A227" s="3">
        <v>8</v>
      </c>
      <c r="B227" s="4" t="s">
        <v>11</v>
      </c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</row>
    <row r="228" spans="1:13" ht="15" x14ac:dyDescent="0.35">
      <c r="A228" s="3">
        <v>9</v>
      </c>
      <c r="B228" s="4" t="s">
        <v>19</v>
      </c>
      <c r="C228" s="22"/>
      <c r="D228" s="22"/>
      <c r="E228" s="22"/>
      <c r="F228" s="22"/>
      <c r="G228" s="22"/>
      <c r="H228" s="22"/>
      <c r="I228" s="22"/>
      <c r="J228" s="22"/>
      <c r="K228" s="22"/>
      <c r="L228" s="22"/>
      <c r="M228" s="22"/>
    </row>
    <row r="229" spans="1:13" ht="15" x14ac:dyDescent="0.35">
      <c r="A229" s="3">
        <v>10</v>
      </c>
      <c r="B229" s="4" t="s">
        <v>12</v>
      </c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</row>
    <row r="230" spans="1:13" ht="15" x14ac:dyDescent="0.35">
      <c r="A230" s="3">
        <v>11</v>
      </c>
      <c r="B230" s="4" t="s">
        <v>13</v>
      </c>
      <c r="C230" s="22"/>
      <c r="D230" s="22"/>
      <c r="E230" s="22"/>
      <c r="F230" s="22"/>
      <c r="G230" s="22"/>
      <c r="H230" s="22"/>
      <c r="I230" s="22"/>
      <c r="J230" s="22"/>
      <c r="K230" s="22"/>
      <c r="L230" s="22"/>
      <c r="M230" s="22"/>
    </row>
    <row r="231" spans="1:13" ht="15" x14ac:dyDescent="0.35">
      <c r="A231" s="3">
        <v>12</v>
      </c>
      <c r="B231" s="4" t="s">
        <v>20</v>
      </c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</row>
    <row r="232" spans="1:13" ht="15" x14ac:dyDescent="0.35">
      <c r="A232" s="3">
        <v>13</v>
      </c>
      <c r="B232" s="4" t="s">
        <v>21</v>
      </c>
      <c r="C232" s="22"/>
      <c r="D232" s="22"/>
      <c r="E232" s="22"/>
      <c r="F232" s="22"/>
      <c r="G232" s="22"/>
      <c r="H232" s="22"/>
      <c r="I232" s="22"/>
      <c r="J232" s="22"/>
      <c r="K232" s="22"/>
      <c r="L232" s="22"/>
      <c r="M232" s="22"/>
    </row>
    <row r="233" spans="1:13" ht="15" x14ac:dyDescent="0.35">
      <c r="A233" s="3">
        <v>14</v>
      </c>
      <c r="B233" s="4" t="s">
        <v>54</v>
      </c>
      <c r="C233" s="26"/>
      <c r="D233" s="22"/>
      <c r="E233" s="22"/>
      <c r="F233" s="22"/>
      <c r="G233" s="22"/>
      <c r="H233" s="22"/>
      <c r="I233" s="22"/>
      <c r="J233" s="22"/>
      <c r="K233" s="22"/>
      <c r="L233" s="22"/>
      <c r="M233" s="22"/>
    </row>
    <row r="234" spans="1:13" ht="15" x14ac:dyDescent="0.35">
      <c r="A234" s="3">
        <v>15</v>
      </c>
      <c r="B234" s="4" t="s">
        <v>14</v>
      </c>
      <c r="C234" s="26"/>
      <c r="D234" s="22"/>
      <c r="E234" s="22"/>
      <c r="F234" s="22"/>
      <c r="G234" s="22"/>
      <c r="H234" s="22"/>
      <c r="I234" s="22"/>
      <c r="J234" s="22"/>
      <c r="K234" s="22"/>
      <c r="L234" s="22"/>
      <c r="M234" s="22"/>
    </row>
    <row r="235" spans="1:13" ht="15" x14ac:dyDescent="0.35">
      <c r="A235" s="3">
        <v>16</v>
      </c>
      <c r="B235" s="4" t="s">
        <v>22</v>
      </c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</row>
    <row r="236" spans="1:13" ht="15" x14ac:dyDescent="0.35">
      <c r="A236" s="3">
        <v>17</v>
      </c>
      <c r="B236" s="4" t="s">
        <v>23</v>
      </c>
      <c r="C236" s="22"/>
      <c r="D236" s="22"/>
      <c r="E236" s="22"/>
      <c r="F236" s="22"/>
      <c r="G236" s="22"/>
      <c r="H236" s="22"/>
      <c r="I236" s="22"/>
      <c r="J236" s="22"/>
      <c r="K236" s="22"/>
      <c r="L236" s="22"/>
      <c r="M236" s="22"/>
    </row>
    <row r="237" spans="1:13" ht="15" x14ac:dyDescent="0.35">
      <c r="A237" s="3">
        <v>18</v>
      </c>
      <c r="B237" s="4" t="s">
        <v>39</v>
      </c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</row>
    <row r="238" spans="1:13" ht="15" x14ac:dyDescent="0.35">
      <c r="A238" s="3">
        <v>19</v>
      </c>
      <c r="B238" s="4" t="s">
        <v>40</v>
      </c>
      <c r="C238" s="22"/>
      <c r="D238" s="22"/>
      <c r="E238" s="22"/>
      <c r="F238" s="22"/>
      <c r="G238" s="22"/>
      <c r="H238" s="22"/>
      <c r="I238" s="22"/>
      <c r="J238" s="22"/>
      <c r="K238" s="22"/>
      <c r="L238" s="22"/>
      <c r="M238" s="22"/>
    </row>
    <row r="242" spans="1:13" x14ac:dyDescent="0.3">
      <c r="A242"/>
      <c r="D242" s="59" t="s">
        <v>88</v>
      </c>
      <c r="E242" s="59"/>
      <c r="F242" s="59"/>
    </row>
    <row r="243" spans="1:13" ht="15" x14ac:dyDescent="0.35">
      <c r="A243" s="1" t="s">
        <v>0</v>
      </c>
      <c r="B243" s="4" t="s">
        <v>1</v>
      </c>
      <c r="C243" s="22" t="s">
        <v>25</v>
      </c>
      <c r="D243" s="22" t="s">
        <v>26</v>
      </c>
      <c r="E243" s="22" t="s">
        <v>27</v>
      </c>
      <c r="F243" s="22" t="s">
        <v>28</v>
      </c>
      <c r="G243" s="22" t="s">
        <v>29</v>
      </c>
      <c r="H243" s="22" t="s">
        <v>30</v>
      </c>
      <c r="I243" s="22" t="s">
        <v>31</v>
      </c>
      <c r="J243" s="22" t="s">
        <v>32</v>
      </c>
      <c r="K243" s="22" t="s">
        <v>35</v>
      </c>
      <c r="L243" s="22" t="s">
        <v>33</v>
      </c>
      <c r="M243" s="22" t="s">
        <v>34</v>
      </c>
    </row>
    <row r="244" spans="1:13" ht="15" x14ac:dyDescent="0.35">
      <c r="A244" s="3">
        <v>1</v>
      </c>
      <c r="B244" s="4" t="s">
        <v>6</v>
      </c>
      <c r="C244" s="22"/>
      <c r="D244" s="22"/>
      <c r="E244" s="22"/>
      <c r="F244" s="22"/>
      <c r="G244" s="22"/>
      <c r="H244" s="22"/>
      <c r="I244" s="22"/>
      <c r="J244" s="22"/>
      <c r="K244" s="22"/>
      <c r="L244" s="22"/>
      <c r="M244" s="22"/>
    </row>
    <row r="245" spans="1:13" ht="15" x14ac:dyDescent="0.35">
      <c r="A245" s="3">
        <v>2</v>
      </c>
      <c r="B245" s="4" t="s">
        <v>7</v>
      </c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</row>
    <row r="246" spans="1:13" ht="15" x14ac:dyDescent="0.35">
      <c r="A246" s="3">
        <v>3</v>
      </c>
      <c r="B246" s="4" t="s">
        <v>8</v>
      </c>
      <c r="C246" s="22"/>
      <c r="D246" s="22"/>
      <c r="E246" s="22"/>
      <c r="F246" s="22"/>
      <c r="G246" s="22"/>
      <c r="H246" s="22"/>
      <c r="I246" s="22"/>
      <c r="J246" s="22"/>
      <c r="K246" s="22"/>
      <c r="L246" s="22"/>
      <c r="M246" s="22"/>
    </row>
    <row r="247" spans="1:13" ht="15" x14ac:dyDescent="0.35">
      <c r="A247" s="3">
        <v>4</v>
      </c>
      <c r="B247" s="4" t="s">
        <v>17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</row>
    <row r="248" spans="1:13" ht="15" x14ac:dyDescent="0.35">
      <c r="A248" s="3">
        <v>5</v>
      </c>
      <c r="B248" s="4" t="s">
        <v>9</v>
      </c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</row>
    <row r="249" spans="1:13" ht="15" x14ac:dyDescent="0.35">
      <c r="A249" s="3">
        <v>6</v>
      </c>
      <c r="B249" s="4" t="s">
        <v>18</v>
      </c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</row>
    <row r="250" spans="1:13" ht="15" x14ac:dyDescent="0.35">
      <c r="A250" s="3">
        <v>7</v>
      </c>
      <c r="B250" s="4" t="s">
        <v>10</v>
      </c>
      <c r="C250" s="22"/>
      <c r="D250" s="22"/>
      <c r="E250" s="22"/>
      <c r="F250" s="22"/>
      <c r="G250" s="22"/>
      <c r="H250" s="22"/>
      <c r="I250" s="22"/>
      <c r="J250" s="22"/>
      <c r="K250" s="22"/>
      <c r="L250" s="22"/>
      <c r="M250" s="22"/>
    </row>
    <row r="251" spans="1:13" ht="15" x14ac:dyDescent="0.35">
      <c r="A251" s="3">
        <v>8</v>
      </c>
      <c r="B251" s="4" t="s">
        <v>11</v>
      </c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</row>
    <row r="252" spans="1:13" ht="15" x14ac:dyDescent="0.35">
      <c r="A252" s="3">
        <v>9</v>
      </c>
      <c r="B252" s="4" t="s">
        <v>19</v>
      </c>
      <c r="C252" s="22"/>
      <c r="D252" s="22"/>
      <c r="E252" s="22"/>
      <c r="F252" s="22"/>
      <c r="G252" s="22"/>
      <c r="H252" s="22"/>
      <c r="I252" s="22"/>
      <c r="J252" s="22"/>
      <c r="K252" s="22"/>
      <c r="L252" s="22"/>
      <c r="M252" s="22"/>
    </row>
    <row r="253" spans="1:13" ht="15" x14ac:dyDescent="0.35">
      <c r="A253" s="3">
        <v>10</v>
      </c>
      <c r="B253" s="4" t="s">
        <v>12</v>
      </c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</row>
    <row r="254" spans="1:13" ht="15" x14ac:dyDescent="0.35">
      <c r="A254" s="3">
        <v>11</v>
      </c>
      <c r="B254" s="4" t="s">
        <v>13</v>
      </c>
      <c r="C254" s="22"/>
      <c r="D254" s="22"/>
      <c r="E254" s="22"/>
      <c r="F254" s="22"/>
      <c r="G254" s="22"/>
      <c r="H254" s="22"/>
      <c r="I254" s="22"/>
      <c r="J254" s="22"/>
      <c r="K254" s="22"/>
      <c r="L254" s="22"/>
      <c r="M254" s="22"/>
    </row>
    <row r="255" spans="1:13" ht="15" x14ac:dyDescent="0.35">
      <c r="A255" s="3">
        <v>12</v>
      </c>
      <c r="B255" s="4" t="s">
        <v>20</v>
      </c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</row>
    <row r="256" spans="1:13" ht="15" x14ac:dyDescent="0.35">
      <c r="A256" s="3">
        <v>13</v>
      </c>
      <c r="B256" s="4" t="s">
        <v>21</v>
      </c>
      <c r="C256" s="22"/>
      <c r="D256" s="22"/>
      <c r="E256" s="22"/>
      <c r="F256" s="22"/>
      <c r="G256" s="22"/>
      <c r="H256" s="22"/>
      <c r="I256" s="22"/>
      <c r="J256" s="22"/>
      <c r="K256" s="22"/>
      <c r="L256" s="22"/>
      <c r="M256" s="22"/>
    </row>
    <row r="257" spans="1:13" ht="15" x14ac:dyDescent="0.35">
      <c r="A257" s="3">
        <v>14</v>
      </c>
      <c r="B257" s="4" t="s">
        <v>54</v>
      </c>
      <c r="C257" s="26"/>
      <c r="D257" s="22"/>
      <c r="E257" s="22"/>
      <c r="F257" s="22"/>
      <c r="G257" s="22"/>
      <c r="H257" s="22"/>
      <c r="I257" s="22"/>
      <c r="J257" s="22"/>
      <c r="K257" s="22"/>
      <c r="L257" s="22"/>
      <c r="M257" s="22"/>
    </row>
    <row r="258" spans="1:13" ht="15" x14ac:dyDescent="0.35">
      <c r="A258" s="3">
        <v>15</v>
      </c>
      <c r="B258" s="4" t="s">
        <v>14</v>
      </c>
      <c r="C258" s="26"/>
      <c r="D258" s="22"/>
      <c r="E258" s="22"/>
      <c r="F258" s="22"/>
      <c r="G258" s="22"/>
      <c r="H258" s="22"/>
      <c r="I258" s="22"/>
      <c r="J258" s="22"/>
      <c r="K258" s="22"/>
      <c r="L258" s="22"/>
      <c r="M258" s="22"/>
    </row>
    <row r="259" spans="1:13" ht="15" x14ac:dyDescent="0.35">
      <c r="A259" s="3">
        <v>16</v>
      </c>
      <c r="B259" s="4" t="s">
        <v>22</v>
      </c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</row>
    <row r="260" spans="1:13" ht="15" x14ac:dyDescent="0.35">
      <c r="A260" s="3">
        <v>17</v>
      </c>
      <c r="B260" s="4" t="s">
        <v>23</v>
      </c>
      <c r="C260" s="22"/>
      <c r="D260" s="22"/>
      <c r="E260" s="22"/>
      <c r="F260" s="22"/>
      <c r="G260" s="22"/>
      <c r="H260" s="22"/>
      <c r="I260" s="22"/>
      <c r="J260" s="22"/>
      <c r="K260" s="22"/>
      <c r="L260" s="22"/>
      <c r="M260" s="22"/>
    </row>
    <row r="261" spans="1:13" ht="15" x14ac:dyDescent="0.35">
      <c r="A261" s="3">
        <v>18</v>
      </c>
      <c r="B261" s="4" t="s">
        <v>39</v>
      </c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</row>
    <row r="262" spans="1:13" ht="15" x14ac:dyDescent="0.35">
      <c r="A262" s="3">
        <v>19</v>
      </c>
      <c r="B262" s="4" t="s">
        <v>40</v>
      </c>
      <c r="C262" s="22"/>
      <c r="D262" s="22"/>
      <c r="E262" s="22"/>
      <c r="F262" s="22"/>
      <c r="G262" s="22"/>
      <c r="H262" s="22"/>
      <c r="I262" s="22"/>
      <c r="J262" s="22"/>
      <c r="K262" s="22"/>
      <c r="L262" s="22"/>
      <c r="M262" s="22"/>
    </row>
    <row r="266" spans="1:13" x14ac:dyDescent="0.3">
      <c r="A266"/>
      <c r="D266" s="59" t="s">
        <v>89</v>
      </c>
      <c r="E266" s="59"/>
      <c r="F266" s="59"/>
    </row>
    <row r="267" spans="1:13" ht="15" x14ac:dyDescent="0.35">
      <c r="A267" s="1" t="s">
        <v>0</v>
      </c>
      <c r="B267" s="4" t="s">
        <v>1</v>
      </c>
      <c r="C267" s="22" t="s">
        <v>25</v>
      </c>
      <c r="D267" s="22" t="s">
        <v>26</v>
      </c>
      <c r="E267" s="22" t="s">
        <v>27</v>
      </c>
      <c r="F267" s="22" t="s">
        <v>28</v>
      </c>
      <c r="G267" s="22" t="s">
        <v>29</v>
      </c>
      <c r="H267" s="22" t="s">
        <v>30</v>
      </c>
      <c r="I267" s="22" t="s">
        <v>31</v>
      </c>
      <c r="J267" s="22" t="s">
        <v>32</v>
      </c>
      <c r="K267" s="22" t="s">
        <v>35</v>
      </c>
      <c r="L267" s="22" t="s">
        <v>33</v>
      </c>
      <c r="M267" s="22" t="s">
        <v>34</v>
      </c>
    </row>
    <row r="268" spans="1:13" ht="15" x14ac:dyDescent="0.35">
      <c r="A268" s="3">
        <v>1</v>
      </c>
      <c r="B268" s="4" t="s">
        <v>6</v>
      </c>
      <c r="C268" s="22"/>
      <c r="D268" s="22"/>
      <c r="E268" s="22"/>
      <c r="F268" s="22"/>
      <c r="G268" s="22"/>
      <c r="H268" s="22"/>
      <c r="I268" s="22"/>
      <c r="J268" s="22"/>
      <c r="K268" s="22"/>
      <c r="L268" s="22"/>
      <c r="M268" s="22"/>
    </row>
    <row r="269" spans="1:13" ht="15" x14ac:dyDescent="0.35">
      <c r="A269" s="3">
        <v>2</v>
      </c>
      <c r="B269" s="4" t="s">
        <v>7</v>
      </c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</row>
    <row r="270" spans="1:13" ht="15" x14ac:dyDescent="0.35">
      <c r="A270" s="3">
        <v>3</v>
      </c>
      <c r="B270" s="4" t="s">
        <v>8</v>
      </c>
      <c r="C270" s="22"/>
      <c r="D270" s="22"/>
      <c r="E270" s="22"/>
      <c r="F270" s="22"/>
      <c r="G270" s="22"/>
      <c r="H270" s="22"/>
      <c r="I270" s="22"/>
      <c r="J270" s="22"/>
      <c r="K270" s="22"/>
      <c r="L270" s="22"/>
      <c r="M270" s="22"/>
    </row>
    <row r="271" spans="1:13" ht="15" x14ac:dyDescent="0.35">
      <c r="A271" s="3">
        <v>4</v>
      </c>
      <c r="B271" s="4" t="s">
        <v>17</v>
      </c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</row>
    <row r="272" spans="1:13" ht="15" x14ac:dyDescent="0.35">
      <c r="A272" s="3">
        <v>5</v>
      </c>
      <c r="B272" s="4" t="s">
        <v>9</v>
      </c>
      <c r="C272" s="22"/>
      <c r="D272" s="22"/>
      <c r="E272" s="22"/>
      <c r="F272" s="22"/>
      <c r="G272" s="22"/>
      <c r="H272" s="22"/>
      <c r="I272" s="22"/>
      <c r="J272" s="22"/>
      <c r="K272" s="22"/>
      <c r="L272" s="22"/>
      <c r="M272" s="22"/>
    </row>
    <row r="273" spans="1:13" ht="15" x14ac:dyDescent="0.35">
      <c r="A273" s="3">
        <v>6</v>
      </c>
      <c r="B273" s="4" t="s">
        <v>18</v>
      </c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</row>
    <row r="274" spans="1:13" ht="15" x14ac:dyDescent="0.35">
      <c r="A274" s="3">
        <v>7</v>
      </c>
      <c r="B274" s="4" t="s">
        <v>10</v>
      </c>
      <c r="C274" s="22"/>
      <c r="D274" s="22"/>
      <c r="E274" s="22"/>
      <c r="F274" s="22"/>
      <c r="G274" s="22"/>
      <c r="H274" s="22"/>
      <c r="I274" s="22"/>
      <c r="J274" s="22"/>
      <c r="K274" s="22"/>
      <c r="L274" s="22"/>
      <c r="M274" s="22"/>
    </row>
    <row r="275" spans="1:13" ht="15" x14ac:dyDescent="0.35">
      <c r="A275" s="3">
        <v>8</v>
      </c>
      <c r="B275" s="4" t="s">
        <v>11</v>
      </c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</row>
    <row r="276" spans="1:13" ht="15" x14ac:dyDescent="0.35">
      <c r="A276" s="3">
        <v>9</v>
      </c>
      <c r="B276" s="4" t="s">
        <v>19</v>
      </c>
      <c r="C276" s="22"/>
      <c r="D276" s="22"/>
      <c r="E276" s="22"/>
      <c r="F276" s="22"/>
      <c r="G276" s="22"/>
      <c r="H276" s="22"/>
      <c r="I276" s="22"/>
      <c r="J276" s="22"/>
      <c r="K276" s="22"/>
      <c r="L276" s="22"/>
      <c r="M276" s="22"/>
    </row>
    <row r="277" spans="1:13" ht="15" x14ac:dyDescent="0.35">
      <c r="A277" s="3">
        <v>10</v>
      </c>
      <c r="B277" s="4" t="s">
        <v>12</v>
      </c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</row>
    <row r="278" spans="1:13" ht="15" x14ac:dyDescent="0.35">
      <c r="A278" s="3">
        <v>11</v>
      </c>
      <c r="B278" s="4" t="s">
        <v>13</v>
      </c>
      <c r="C278" s="22"/>
      <c r="D278" s="22"/>
      <c r="E278" s="22"/>
      <c r="F278" s="22"/>
      <c r="G278" s="22"/>
      <c r="H278" s="22"/>
      <c r="I278" s="22"/>
      <c r="J278" s="22"/>
      <c r="K278" s="22"/>
      <c r="L278" s="22"/>
      <c r="M278" s="22"/>
    </row>
    <row r="279" spans="1:13" ht="15" x14ac:dyDescent="0.35">
      <c r="A279" s="3">
        <v>12</v>
      </c>
      <c r="B279" s="4" t="s">
        <v>20</v>
      </c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</row>
    <row r="280" spans="1:13" ht="15" x14ac:dyDescent="0.35">
      <c r="A280" s="3">
        <v>13</v>
      </c>
      <c r="B280" s="4" t="s">
        <v>21</v>
      </c>
      <c r="C280" s="22"/>
      <c r="D280" s="22"/>
      <c r="E280" s="22"/>
      <c r="F280" s="22"/>
      <c r="G280" s="22"/>
      <c r="H280" s="22"/>
      <c r="I280" s="22"/>
      <c r="J280" s="22"/>
      <c r="K280" s="22"/>
      <c r="L280" s="22"/>
      <c r="M280" s="22"/>
    </row>
    <row r="281" spans="1:13" ht="15" x14ac:dyDescent="0.35">
      <c r="A281" s="3">
        <v>14</v>
      </c>
      <c r="B281" s="4" t="s">
        <v>54</v>
      </c>
      <c r="C281" s="26"/>
      <c r="D281" s="22"/>
      <c r="E281" s="22"/>
      <c r="F281" s="22"/>
      <c r="G281" s="22"/>
      <c r="H281" s="22"/>
      <c r="I281" s="22"/>
      <c r="J281" s="22"/>
      <c r="K281" s="22"/>
      <c r="L281" s="22"/>
      <c r="M281" s="22"/>
    </row>
    <row r="282" spans="1:13" ht="15" x14ac:dyDescent="0.35">
      <c r="A282" s="3">
        <v>15</v>
      </c>
      <c r="B282" s="4" t="s">
        <v>14</v>
      </c>
      <c r="C282" s="26"/>
      <c r="D282" s="22"/>
      <c r="E282" s="22"/>
      <c r="F282" s="22"/>
      <c r="G282" s="22"/>
      <c r="H282" s="22"/>
      <c r="I282" s="22"/>
      <c r="J282" s="22"/>
      <c r="K282" s="22"/>
      <c r="L282" s="22"/>
      <c r="M282" s="22"/>
    </row>
    <row r="283" spans="1:13" ht="15" x14ac:dyDescent="0.35">
      <c r="A283" s="3">
        <v>16</v>
      </c>
      <c r="B283" s="4" t="s">
        <v>22</v>
      </c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</row>
    <row r="284" spans="1:13" ht="15" x14ac:dyDescent="0.35">
      <c r="A284" s="3">
        <v>17</v>
      </c>
      <c r="B284" s="4" t="s">
        <v>23</v>
      </c>
      <c r="C284" s="22"/>
      <c r="D284" s="22"/>
      <c r="E284" s="22"/>
      <c r="F284" s="22"/>
      <c r="G284" s="22"/>
      <c r="H284" s="22"/>
      <c r="I284" s="22"/>
      <c r="J284" s="22"/>
      <c r="K284" s="22"/>
      <c r="L284" s="22"/>
      <c r="M284" s="22"/>
    </row>
    <row r="285" spans="1:13" ht="15" x14ac:dyDescent="0.35">
      <c r="A285" s="3">
        <v>18</v>
      </c>
      <c r="B285" s="4" t="s">
        <v>39</v>
      </c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</row>
    <row r="286" spans="1:13" ht="15" x14ac:dyDescent="0.35">
      <c r="A286" s="3">
        <v>19</v>
      </c>
      <c r="B286" s="4" t="s">
        <v>40</v>
      </c>
      <c r="C286" s="22"/>
      <c r="D286" s="22"/>
      <c r="E286" s="22"/>
      <c r="F286" s="22"/>
      <c r="G286" s="22"/>
      <c r="H286" s="22"/>
      <c r="I286" s="22"/>
      <c r="J286" s="22"/>
      <c r="K286" s="22"/>
      <c r="L286" s="22"/>
      <c r="M286" s="22"/>
    </row>
  </sheetData>
  <mergeCells count="13">
    <mergeCell ref="A1:M1"/>
    <mergeCell ref="D242:F242"/>
    <mergeCell ref="D266:F266"/>
    <mergeCell ref="D2:F2"/>
    <mergeCell ref="D122:F122"/>
    <mergeCell ref="D146:F146"/>
    <mergeCell ref="D170:F170"/>
    <mergeCell ref="D194:F194"/>
    <mergeCell ref="D218:F218"/>
    <mergeCell ref="D26:F26"/>
    <mergeCell ref="D50:F50"/>
    <mergeCell ref="D74:F74"/>
    <mergeCell ref="D98:F98"/>
  </mergeCells>
  <pageMargins left="0.7" right="0.7" top="0.75" bottom="0.75" header="0.3" footer="0.3"/>
  <drawing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EECF9-B1A4-4E3E-B649-8637893FFC5C}">
  <sheetPr codeName="Sheet14"/>
  <dimension ref="A1:T21"/>
  <sheetViews>
    <sheetView zoomScale="90" zoomScaleNormal="90" workbookViewId="0">
      <selection activeCell="A2" sqref="A2:A3"/>
    </sheetView>
  </sheetViews>
  <sheetFormatPr defaultRowHeight="14.4" x14ac:dyDescent="0.3"/>
  <cols>
    <col min="1" max="1" width="4.6640625" customWidth="1"/>
    <col min="2" max="2" width="10.44140625" bestFit="1" customWidth="1"/>
    <col min="3" max="3" width="52.33203125" bestFit="1" customWidth="1"/>
    <col min="4" max="4" width="7.33203125" bestFit="1" customWidth="1"/>
    <col min="5" max="5" width="7.109375" bestFit="1" customWidth="1"/>
    <col min="6" max="6" width="8.44140625" bestFit="1" customWidth="1"/>
    <col min="7" max="7" width="15.6640625" bestFit="1" customWidth="1"/>
    <col min="8" max="8" width="9.33203125" bestFit="1" customWidth="1"/>
    <col min="12" max="12" width="10.88671875" customWidth="1"/>
    <col min="13" max="13" width="10.6640625" customWidth="1"/>
    <col min="16" max="16" width="11.33203125" bestFit="1" customWidth="1"/>
  </cols>
  <sheetData>
    <row r="1" spans="1:20" ht="30.6" customHeight="1" x14ac:dyDescent="0.3">
      <c r="T1" s="28" t="str">
        <f ca="1">HYPERLINK("#" &amp; CHOOSE(MONTH(TODAY()), "আসমানখালী!B141", "আসমানখালী!B164", "আসমানখালী!B187", "আসমানখালী!B210", "আসমানখালী!B233", "আসমানখালী!B256", "আসমানখালী!B3", "আসমানখালী!B26", "আসমানখালী!B49", "আসমانখালী!B72", "আসমানখালী!B95", "আসমানখালী!B118"), Model!L3 &amp; " মাসের তথ্যে যান")</f>
        <v>আগস্ট মাসের তথ্যে যান</v>
      </c>
    </row>
    <row r="2" spans="1:20" ht="15" x14ac:dyDescent="0.35">
      <c r="A2" s="60" t="s">
        <v>2</v>
      </c>
      <c r="B2" s="6" t="s">
        <v>0</v>
      </c>
      <c r="C2" s="2" t="s">
        <v>1</v>
      </c>
      <c r="D2" s="6" t="s">
        <v>15</v>
      </c>
      <c r="E2" s="6" t="s">
        <v>4</v>
      </c>
      <c r="F2" s="6" t="s">
        <v>3</v>
      </c>
      <c r="G2" s="6" t="s">
        <v>5</v>
      </c>
      <c r="H2" s="5" t="s">
        <v>16</v>
      </c>
      <c r="L2" s="8" t="s">
        <v>75</v>
      </c>
      <c r="M2" s="8" t="s">
        <v>62</v>
      </c>
      <c r="Q2" t="s">
        <v>69</v>
      </c>
      <c r="R2" t="s">
        <v>93</v>
      </c>
    </row>
    <row r="3" spans="1:20" ht="16.8" x14ac:dyDescent="0.4">
      <c r="A3" s="60"/>
      <c r="B3" s="10">
        <v>1</v>
      </c>
      <c r="C3" s="11" t="s">
        <v>6</v>
      </c>
      <c r="D3" s="25"/>
      <c r="E3" s="24"/>
      <c r="F3" s="13" t="str">
        <f>IF(OR(ISBLANK(D3),ISBLANK(E3)),"",D3-E3)</f>
        <v/>
      </c>
      <c r="G3" s="13" t="str">
        <f>IF(OR(ISBLANK(D3),ISBLANK(E3)),"",(E3/D3)*100)</f>
        <v/>
      </c>
      <c r="H3" s="14"/>
      <c r="L3" s="22" t="str">
        <f ca="1">CHOOSE(MONTH(TODAY()),M3,M4,M5,M6,M7,M8,M9,M10,M11,M12,M13,M14)</f>
        <v>আগস্ট</v>
      </c>
      <c r="M3" t="s">
        <v>69</v>
      </c>
      <c r="P3" t="str">
        <f t="shared" ref="P3:P14" si="0">_xlfn.CONCAT(Q2,$Q$14,TEXT($Q$15, "[$-bn-IN,500]0"))</f>
        <v>জানুয়ারি/২০২৫</v>
      </c>
      <c r="Q3" t="s">
        <v>70</v>
      </c>
      <c r="R3" t="s">
        <v>94</v>
      </c>
    </row>
    <row r="4" spans="1:20" ht="16.8" x14ac:dyDescent="0.4">
      <c r="A4" s="61"/>
      <c r="B4" s="10">
        <v>2</v>
      </c>
      <c r="C4" s="11" t="s">
        <v>7</v>
      </c>
      <c r="D4" s="25"/>
      <c r="E4" s="24"/>
      <c r="F4" s="13" t="str">
        <f t="shared" ref="F4:F20" si="1">IF(OR(ISBLANK(D4),ISBLANK(E4)),"",D4-E4)</f>
        <v/>
      </c>
      <c r="G4" s="13" t="str">
        <f t="shared" ref="G4:G20" si="2">IF(OR(ISBLANK(D4),ISBLANK(E4)),"",(E4/D4)*100)</f>
        <v/>
      </c>
      <c r="H4" s="14"/>
      <c r="L4" s="22" t="str">
        <f ca="1">TEXT(YEAR(TODAY()), "[$-bn-IN,500]0")</f>
        <v>২০২৪</v>
      </c>
      <c r="M4" t="s">
        <v>70</v>
      </c>
      <c r="P4" t="str">
        <f t="shared" si="0"/>
        <v>ফেব্রুয়ারি/২০২৫</v>
      </c>
      <c r="Q4" t="s">
        <v>74</v>
      </c>
      <c r="R4" t="s">
        <v>95</v>
      </c>
    </row>
    <row r="5" spans="1:20" ht="16.8" x14ac:dyDescent="0.4">
      <c r="A5" s="61"/>
      <c r="B5" s="10">
        <v>3</v>
      </c>
      <c r="C5" s="11" t="s">
        <v>8</v>
      </c>
      <c r="D5" s="10"/>
      <c r="E5" s="10"/>
      <c r="F5" s="12" t="str">
        <f t="shared" si="1"/>
        <v/>
      </c>
      <c r="G5" s="13" t="str">
        <f t="shared" si="2"/>
        <v/>
      </c>
      <c r="H5" s="14"/>
      <c r="L5" s="27" t="str">
        <f ca="1">_xlfn.CONCAT(L3,"/",TEXT(YEAR(TODAY()), "[$-bn-IN,500]0"))</f>
        <v>আগস্ট/২০২৪</v>
      </c>
      <c r="M5" t="s">
        <v>74</v>
      </c>
      <c r="P5" t="str">
        <f t="shared" si="0"/>
        <v>মার্চ/২০২৫</v>
      </c>
      <c r="Q5" t="s">
        <v>71</v>
      </c>
      <c r="R5" t="s">
        <v>96</v>
      </c>
    </row>
    <row r="6" spans="1:20" ht="16.8" x14ac:dyDescent="0.4">
      <c r="A6" s="61"/>
      <c r="B6" s="10">
        <v>4</v>
      </c>
      <c r="C6" s="11" t="s">
        <v>17</v>
      </c>
      <c r="D6" s="10"/>
      <c r="E6" s="10"/>
      <c r="F6" s="12" t="str">
        <f t="shared" si="1"/>
        <v/>
      </c>
      <c r="G6" s="13" t="str">
        <f t="shared" si="2"/>
        <v/>
      </c>
      <c r="H6" s="14"/>
      <c r="L6" s="26"/>
      <c r="M6" t="s">
        <v>71</v>
      </c>
      <c r="P6" t="str">
        <f t="shared" si="0"/>
        <v>এপ্রিল/২০২৫</v>
      </c>
      <c r="Q6" t="s">
        <v>72</v>
      </c>
      <c r="R6" t="s">
        <v>92</v>
      </c>
    </row>
    <row r="7" spans="1:20" ht="16.8" x14ac:dyDescent="0.4">
      <c r="A7" s="61"/>
      <c r="B7" s="10">
        <v>5</v>
      </c>
      <c r="C7" s="11" t="s">
        <v>9</v>
      </c>
      <c r="D7" s="10"/>
      <c r="E7" s="10"/>
      <c r="F7" s="12" t="str">
        <f t="shared" si="1"/>
        <v/>
      </c>
      <c r="G7" s="13" t="str">
        <f t="shared" si="2"/>
        <v/>
      </c>
      <c r="H7" s="14"/>
      <c r="M7" t="s">
        <v>72</v>
      </c>
      <c r="P7" t="str">
        <f t="shared" si="0"/>
        <v>মে/২০২৫</v>
      </c>
      <c r="Q7" t="s">
        <v>73</v>
      </c>
      <c r="R7" t="s">
        <v>97</v>
      </c>
    </row>
    <row r="8" spans="1:20" ht="16.8" x14ac:dyDescent="0.4">
      <c r="A8" s="61"/>
      <c r="B8" s="10">
        <v>6</v>
      </c>
      <c r="C8" s="11" t="s">
        <v>18</v>
      </c>
      <c r="D8" s="10"/>
      <c r="E8" s="10"/>
      <c r="F8" s="12" t="str">
        <f t="shared" si="1"/>
        <v/>
      </c>
      <c r="G8" s="13" t="str">
        <f t="shared" si="2"/>
        <v/>
      </c>
      <c r="H8" s="14"/>
      <c r="M8" t="s">
        <v>73</v>
      </c>
      <c r="P8" t="str">
        <f t="shared" si="0"/>
        <v>জুন/২০২৫</v>
      </c>
      <c r="Q8" t="s">
        <v>63</v>
      </c>
      <c r="R8" t="s">
        <v>98</v>
      </c>
    </row>
    <row r="9" spans="1:20" ht="16.8" x14ac:dyDescent="0.4">
      <c r="A9" s="61"/>
      <c r="B9" s="10">
        <v>7</v>
      </c>
      <c r="C9" s="11" t="s">
        <v>10</v>
      </c>
      <c r="D9" s="10"/>
      <c r="E9" s="10"/>
      <c r="F9" s="12" t="str">
        <f t="shared" si="1"/>
        <v/>
      </c>
      <c r="G9" s="13" t="str">
        <f t="shared" si="2"/>
        <v/>
      </c>
      <c r="H9" s="14"/>
      <c r="M9" t="s">
        <v>63</v>
      </c>
      <c r="P9" t="str">
        <f t="shared" si="0"/>
        <v>জুলাই/২০২৫</v>
      </c>
      <c r="Q9" t="s">
        <v>64</v>
      </c>
      <c r="R9" t="s">
        <v>99</v>
      </c>
    </row>
    <row r="10" spans="1:20" ht="16.8" x14ac:dyDescent="0.4">
      <c r="A10" s="61"/>
      <c r="B10" s="10">
        <v>8</v>
      </c>
      <c r="C10" s="11" t="s">
        <v>11</v>
      </c>
      <c r="D10" s="10"/>
      <c r="E10" s="10"/>
      <c r="F10" s="12" t="str">
        <f t="shared" si="1"/>
        <v/>
      </c>
      <c r="G10" s="13" t="str">
        <f t="shared" si="2"/>
        <v/>
      </c>
      <c r="H10" s="14"/>
      <c r="M10" t="s">
        <v>64</v>
      </c>
      <c r="P10" t="str">
        <f t="shared" si="0"/>
        <v>আগস্ট/২০২৫</v>
      </c>
      <c r="Q10" t="s">
        <v>65</v>
      </c>
      <c r="R10" t="s">
        <v>100</v>
      </c>
    </row>
    <row r="11" spans="1:20" ht="16.8" x14ac:dyDescent="0.4">
      <c r="A11" s="61"/>
      <c r="B11" s="10">
        <v>9</v>
      </c>
      <c r="C11" s="11" t="s">
        <v>19</v>
      </c>
      <c r="D11" s="10"/>
      <c r="E11" s="10"/>
      <c r="F11" s="12" t="str">
        <f t="shared" si="1"/>
        <v/>
      </c>
      <c r="G11" s="13" t="str">
        <f t="shared" si="2"/>
        <v/>
      </c>
      <c r="H11" s="14"/>
      <c r="M11" t="s">
        <v>65</v>
      </c>
      <c r="P11" t="str">
        <f t="shared" si="0"/>
        <v>সেপ্টেম্বর/২০২৫</v>
      </c>
      <c r="Q11" t="s">
        <v>66</v>
      </c>
      <c r="R11" t="s">
        <v>101</v>
      </c>
    </row>
    <row r="12" spans="1:20" ht="16.8" x14ac:dyDescent="0.4">
      <c r="A12" s="61"/>
      <c r="B12" s="10">
        <v>10</v>
      </c>
      <c r="C12" s="11" t="s">
        <v>12</v>
      </c>
      <c r="D12" s="14"/>
      <c r="E12" s="10"/>
      <c r="F12" s="12" t="str">
        <f t="shared" si="1"/>
        <v/>
      </c>
      <c r="G12" s="13" t="str">
        <f t="shared" si="2"/>
        <v/>
      </c>
      <c r="H12" s="14"/>
      <c r="M12" t="s">
        <v>66</v>
      </c>
      <c r="P12" t="str">
        <f t="shared" si="0"/>
        <v>অক্টোবর/২০২৫</v>
      </c>
      <c r="Q12" t="s">
        <v>67</v>
      </c>
      <c r="R12" t="s">
        <v>102</v>
      </c>
    </row>
    <row r="13" spans="1:20" ht="16.8" x14ac:dyDescent="0.4">
      <c r="A13" s="61"/>
      <c r="B13" s="10">
        <v>11</v>
      </c>
      <c r="C13" s="11" t="s">
        <v>13</v>
      </c>
      <c r="D13" s="14"/>
      <c r="E13" s="10"/>
      <c r="F13" s="12" t="str">
        <f t="shared" si="1"/>
        <v/>
      </c>
      <c r="G13" s="13" t="str">
        <f t="shared" si="2"/>
        <v/>
      </c>
      <c r="H13" s="14"/>
      <c r="M13" t="s">
        <v>67</v>
      </c>
      <c r="P13" t="str">
        <f t="shared" si="0"/>
        <v>নভেম্বর/২০২৫</v>
      </c>
      <c r="Q13" t="s">
        <v>68</v>
      </c>
      <c r="R13" t="s">
        <v>103</v>
      </c>
    </row>
    <row r="14" spans="1:20" ht="16.8" x14ac:dyDescent="0.4">
      <c r="A14" s="61"/>
      <c r="B14" s="10">
        <v>12</v>
      </c>
      <c r="C14" s="11" t="s">
        <v>20</v>
      </c>
      <c r="D14" s="14"/>
      <c r="E14" s="10"/>
      <c r="F14" s="12" t="str">
        <f t="shared" si="1"/>
        <v/>
      </c>
      <c r="G14" s="13" t="str">
        <f t="shared" si="2"/>
        <v/>
      </c>
      <c r="H14" s="14"/>
      <c r="M14" t="s">
        <v>68</v>
      </c>
      <c r="P14" t="str">
        <f t="shared" si="0"/>
        <v>ডিসেম্বর/২০২৫</v>
      </c>
      <c r="Q14" s="22" t="s">
        <v>78</v>
      </c>
    </row>
    <row r="15" spans="1:20" ht="16.8" x14ac:dyDescent="0.4">
      <c r="A15" s="61"/>
      <c r="B15" s="10">
        <v>13</v>
      </c>
      <c r="C15" s="11" t="s">
        <v>21</v>
      </c>
      <c r="D15" s="14"/>
      <c r="E15" s="10"/>
      <c r="F15" s="12" t="str">
        <f t="shared" si="1"/>
        <v/>
      </c>
      <c r="G15" s="13" t="str">
        <f t="shared" si="2"/>
        <v/>
      </c>
      <c r="H15" s="14"/>
      <c r="Q15" s="26">
        <v>2025</v>
      </c>
    </row>
    <row r="16" spans="1:20" ht="16.8" x14ac:dyDescent="0.4">
      <c r="A16" s="61"/>
      <c r="B16" s="10">
        <v>14</v>
      </c>
      <c r="C16" s="11" t="s">
        <v>14</v>
      </c>
      <c r="D16" s="25"/>
      <c r="E16" s="24"/>
      <c r="F16" s="13" t="str">
        <f t="shared" si="1"/>
        <v/>
      </c>
      <c r="G16" s="13" t="str">
        <f t="shared" si="2"/>
        <v/>
      </c>
      <c r="H16" s="14"/>
      <c r="L16" t="s">
        <v>91</v>
      </c>
    </row>
    <row r="17" spans="1:8" ht="16.8" x14ac:dyDescent="0.4">
      <c r="A17" s="61"/>
      <c r="B17" s="10">
        <v>15</v>
      </c>
      <c r="C17" s="11" t="s">
        <v>22</v>
      </c>
      <c r="D17" s="14"/>
      <c r="E17" s="10"/>
      <c r="F17" s="12" t="str">
        <f t="shared" si="1"/>
        <v/>
      </c>
      <c r="G17" s="13" t="str">
        <f t="shared" si="2"/>
        <v/>
      </c>
      <c r="H17" s="14"/>
    </row>
    <row r="18" spans="1:8" ht="16.8" x14ac:dyDescent="0.4">
      <c r="A18" s="61"/>
      <c r="B18" s="10">
        <v>16</v>
      </c>
      <c r="C18" s="11" t="s">
        <v>23</v>
      </c>
      <c r="D18" s="14"/>
      <c r="E18" s="10"/>
      <c r="F18" s="12" t="str">
        <f t="shared" si="1"/>
        <v/>
      </c>
      <c r="G18" s="13" t="str">
        <f t="shared" si="2"/>
        <v/>
      </c>
      <c r="H18" s="14"/>
    </row>
    <row r="19" spans="1:8" ht="16.8" x14ac:dyDescent="0.4">
      <c r="A19" s="61"/>
      <c r="B19" s="10">
        <v>17</v>
      </c>
      <c r="C19" s="11" t="s">
        <v>39</v>
      </c>
      <c r="D19" s="14"/>
      <c r="E19" s="10"/>
      <c r="F19" s="12" t="str">
        <f t="shared" si="1"/>
        <v/>
      </c>
      <c r="G19" s="13" t="str">
        <f t="shared" si="2"/>
        <v/>
      </c>
      <c r="H19" s="14"/>
    </row>
    <row r="20" spans="1:8" ht="16.8" x14ac:dyDescent="0.4">
      <c r="A20" s="62"/>
      <c r="B20" s="15">
        <v>18</v>
      </c>
      <c r="C20" s="16" t="s">
        <v>40</v>
      </c>
      <c r="D20" s="17"/>
      <c r="E20" s="15"/>
      <c r="F20" s="18" t="str">
        <f t="shared" si="1"/>
        <v/>
      </c>
      <c r="G20" s="19" t="str">
        <f t="shared" si="2"/>
        <v/>
      </c>
      <c r="H20" s="17"/>
    </row>
    <row r="21" spans="1:8" ht="16.8" x14ac:dyDescent="0.4">
      <c r="A21" s="7"/>
      <c r="B21" s="14"/>
      <c r="C21" s="9" t="s">
        <v>36</v>
      </c>
      <c r="D21" s="20" t="str">
        <f>IF(COUNTIF(D3:D20,"")=18,"",SUM(D3:D20))</f>
        <v/>
      </c>
      <c r="E21" s="20" t="str">
        <f>IF(COUNTIF(E3:E20,"")=18,"",SUM(E3:E20))</f>
        <v/>
      </c>
      <c r="F21" s="20" t="str">
        <f>IF(COUNTIF(F3:F20,"")=18,"",SUM(F3:F20))</f>
        <v/>
      </c>
      <c r="G21" s="21" t="str">
        <f>IF(COUNTIF(G3:G20,"")=18,"",SUM(G3:G20)/(COUNTA(G3:G20)-COUNTBLANK(G3:G20)))</f>
        <v/>
      </c>
      <c r="H21" s="14"/>
    </row>
  </sheetData>
  <sheetProtection algorithmName="SHA-512" hashValue="xFRep67igDaFahLZa1a1eXFaeKgBL9i86NRUPYTdozTGUHuWMvKLlJ5RRdezHXJqm0fCXlhZySXeOLleODDiwQ==" saltValue="KEiW3vUU2r83B44oNw8tqw==" spinCount="100000" sheet="1" objects="1" scenarios="1" selectLockedCells="1"/>
  <mergeCells count="2">
    <mergeCell ref="A2:A3"/>
    <mergeCell ref="A4:A20"/>
  </mergeCells>
  <phoneticPr fontId="8" type="noConversion"/>
  <dataValidations count="1">
    <dataValidation type="whole" operator="greaterThanOrEqual" allowBlank="1" showInputMessage="1" showErrorMessage="1" errorTitle="শুধুমাত্র ধনাত্মক সংখ্যা" error="শুধুমাত্র ধনাত্মক সংখ্যা গ্রহণযোগ্য। ০ বা তার চেয়ে বড় সংখ্যা ইনপুট দিন।" sqref="D3:E20" xr:uid="{56D5E123-E0A0-48AA-8E6D-095D61C5FB4B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BE033-59F5-43AB-8E7E-D4CE5FD73CB7}">
  <sheetPr codeName="Sheet15"/>
  <dimension ref="D1:D11"/>
  <sheetViews>
    <sheetView workbookViewId="0">
      <selection activeCell="D11" sqref="D11"/>
    </sheetView>
  </sheetViews>
  <sheetFormatPr defaultRowHeight="14.4" x14ac:dyDescent="0.3"/>
  <cols>
    <col min="4" max="4" width="28.6640625" customWidth="1"/>
  </cols>
  <sheetData>
    <row r="1" spans="4:4" x14ac:dyDescent="0.3">
      <c r="D1" t="s">
        <v>25</v>
      </c>
    </row>
    <row r="2" spans="4:4" x14ac:dyDescent="0.3">
      <c r="D2" t="s">
        <v>26</v>
      </c>
    </row>
    <row r="3" spans="4:4" x14ac:dyDescent="0.3">
      <c r="D3" t="s">
        <v>27</v>
      </c>
    </row>
    <row r="4" spans="4:4" x14ac:dyDescent="0.3">
      <c r="D4" t="s">
        <v>28</v>
      </c>
    </row>
    <row r="5" spans="4:4" x14ac:dyDescent="0.3">
      <c r="D5" t="s">
        <v>29</v>
      </c>
    </row>
    <row r="6" spans="4:4" x14ac:dyDescent="0.3">
      <c r="D6" t="s">
        <v>30</v>
      </c>
    </row>
    <row r="7" spans="4:4" x14ac:dyDescent="0.3">
      <c r="D7" t="s">
        <v>31</v>
      </c>
    </row>
    <row r="8" spans="4:4" x14ac:dyDescent="0.3">
      <c r="D8" t="s">
        <v>32</v>
      </c>
    </row>
    <row r="9" spans="4:4" x14ac:dyDescent="0.3">
      <c r="D9" t="s">
        <v>35</v>
      </c>
    </row>
    <row r="10" spans="4:4" x14ac:dyDescent="0.3">
      <c r="D10" t="s">
        <v>33</v>
      </c>
    </row>
    <row r="11" spans="4:4" x14ac:dyDescent="0.3">
      <c r="D11" t="s">
        <v>34</v>
      </c>
    </row>
  </sheetData>
  <sortState xmlns:xlrd2="http://schemas.microsoft.com/office/spreadsheetml/2017/richdata2" ref="D1:D11">
    <sortCondition ref="D1:D1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ড্যাশবোর্ড</vt:lpstr>
      <vt:lpstr>আসমানখালী</vt:lpstr>
      <vt:lpstr>Input</vt:lpstr>
      <vt:lpstr>Model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Md. Tanvir Mahmud</dc:creator>
  <cp:lastModifiedBy>Md. Tanvir Mahmud</cp:lastModifiedBy>
  <cp:lastPrinted>2024-08-08T05:58:01Z</cp:lastPrinted>
  <dcterms:created xsi:type="dcterms:W3CDTF">2015-06-05T18:17:20Z</dcterms:created>
  <dcterms:modified xsi:type="dcterms:W3CDTF">2024-08-20T04:22:05Z</dcterms:modified>
</cp:coreProperties>
</file>